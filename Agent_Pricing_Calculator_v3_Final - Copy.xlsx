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uu\Downloads\"/>
    </mc:Choice>
  </mc:AlternateContent>
  <xr:revisionPtr revIDLastSave="0" documentId="8_{C47B1B03-0871-40B2-B16A-068027DD48FC}" xr6:coauthVersionLast="47" xr6:coauthVersionMax="47" xr10:uidLastSave="{00000000-0000-0000-0000-000000000000}"/>
  <bookViews>
    <workbookView xWindow="-96" yWindow="-96" windowWidth="30912" windowHeight="16752" activeTab="1" xr2:uid="{00000000-000D-0000-FFFF-FFFF00000000}"/>
  </bookViews>
  <sheets>
    <sheet name="Pricing_Calculator" sheetId="1" r:id="rId1"/>
    <sheet name="Hosted vs On Demand" sheetId="9" r:id="rId2"/>
    <sheet name="Pricing_Calculator (2)" sheetId="8" r:id="rId3"/>
    <sheet name="Category_Breakdown" sheetId="3" r:id="rId4"/>
    <sheet name="Per_Agent_Tokens" sheetId="4" r:id="rId5"/>
    <sheet name="AWS LLM Pricing" sheetId="6" r:id="rId6"/>
    <sheet name="Z_Core_vs_Rollup" sheetId="5" r:id="rId7"/>
    <sheet name="Z_Optimization_Scenarios" sheetId="7" r:id="rId8"/>
  </sheets>
  <definedNames>
    <definedName name="InfrastructurePct" localSheetId="1">'Hosted vs On Demand'!#REF!</definedName>
    <definedName name="InfrastructurePct" localSheetId="2">'Pricing_Calculator (2)'!$A$24</definedName>
    <definedName name="InfrastructurePct">Pricing_Calculator!$A$24</definedName>
    <definedName name="InputPrice" localSheetId="1">'Hosted vs On Demand'!#REF!</definedName>
    <definedName name="InputPrice" localSheetId="2">'Pricing_Calculator (2)'!$A$8</definedName>
    <definedName name="InputPrice">Pricing_Calculator!$A$8</definedName>
    <definedName name="ModelList">'AWS LLM Pricing'!$B$2:$B$14</definedName>
    <definedName name="MonthlyCaseVolume" localSheetId="1">'Hosted vs On Demand'!#REF!</definedName>
    <definedName name="MonthlyCaseVolume" localSheetId="2">'Pricing_Calculator (2)'!$A$14</definedName>
    <definedName name="MonthlyCaseVolume">Pricing_Calculator!$A$14</definedName>
    <definedName name="NumAgents" localSheetId="1">'Hosted vs On Demand'!#REF!</definedName>
    <definedName name="NumAgents" localSheetId="2">'Pricing_Calculator (2)'!$A$16</definedName>
    <definedName name="NumAgents">Pricing_Calculator!$A$16</definedName>
    <definedName name="OutputPrice" localSheetId="1">'Hosted vs On Demand'!#REF!</definedName>
    <definedName name="OutputPrice" localSheetId="2">'Pricing_Calculator (2)'!$A$10</definedName>
    <definedName name="OutputPrice">Pricing_Calculator!$A$10</definedName>
    <definedName name="SelectedModel" localSheetId="1">'Hosted vs On Demand'!#REF!</definedName>
    <definedName name="SelectedModel" localSheetId="2">'Pricing_Calculator (2)'!$A$4</definedName>
    <definedName name="SelectedModel">Pricing_Calculator!$A$4</definedName>
    <definedName name="SynthInputTokens" localSheetId="1">'Hosted vs On Demand'!#REF!</definedName>
    <definedName name="SynthInputTokens" localSheetId="2">'Pricing_Calculator (2)'!$A$20</definedName>
    <definedName name="SynthInputTokens">Pricing_Calculator!$A$20</definedName>
    <definedName name="SynthOutputTokens" localSheetId="1">'Hosted vs On Demand'!#REF!</definedName>
    <definedName name="SynthOutputTokens" localSheetId="2">'Pricing_Calculator (2)'!$A$22</definedName>
    <definedName name="SynthOutputTokens">Pricing_Calculator!$A$22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9" l="1"/>
  <c r="F38" i="9"/>
  <c r="D18" i="1"/>
  <c r="D11" i="1"/>
  <c r="C7" i="1"/>
  <c r="F4" i="1"/>
  <c r="C4" i="1"/>
  <c r="E4" i="1" s="1"/>
  <c r="D4" i="1" l="1"/>
  <c r="C38" i="9" l="1"/>
  <c r="B40" i="9"/>
  <c r="B42" i="9"/>
  <c r="B43" i="9"/>
  <c r="J48" i="9"/>
  <c r="J47" i="9"/>
  <c r="J46" i="9"/>
  <c r="J45" i="9"/>
  <c r="J44" i="9"/>
  <c r="J43" i="9"/>
  <c r="J42" i="9"/>
  <c r="J41" i="9"/>
  <c r="J39" i="9"/>
  <c r="K38" i="9"/>
  <c r="J38" i="9"/>
  <c r="J35" i="9"/>
  <c r="J34" i="9"/>
  <c r="J33" i="9"/>
  <c r="J32" i="9"/>
  <c r="J31" i="9"/>
  <c r="J30" i="9"/>
  <c r="J29" i="9"/>
  <c r="J28" i="9"/>
  <c r="J27" i="9"/>
  <c r="J26" i="9"/>
  <c r="K25" i="9"/>
  <c r="J25" i="9"/>
  <c r="D25" i="9"/>
  <c r="C25" i="9"/>
  <c r="H5" i="9"/>
  <c r="B11" i="9"/>
  <c r="C35" i="9" s="1"/>
  <c r="Q32" i="9"/>
  <c r="P18" i="9"/>
  <c r="S18" i="9"/>
  <c r="P19" i="9"/>
  <c r="P20" i="9"/>
  <c r="P21" i="9"/>
  <c r="P22" i="9"/>
  <c r="P23" i="9"/>
  <c r="P24" i="9"/>
  <c r="P25" i="9"/>
  <c r="P26" i="9"/>
  <c r="P27" i="9"/>
  <c r="J15" i="9"/>
  <c r="K15" i="9"/>
  <c r="J16" i="9"/>
  <c r="K16" i="9"/>
  <c r="J17" i="9"/>
  <c r="K17" i="9"/>
  <c r="J18" i="9"/>
  <c r="K18" i="9"/>
  <c r="J19" i="9"/>
  <c r="K19" i="9"/>
  <c r="J20" i="9"/>
  <c r="K20" i="9"/>
  <c r="J21" i="9"/>
  <c r="K21" i="9"/>
  <c r="J22" i="9"/>
  <c r="K22" i="9"/>
  <c r="C15" i="9"/>
  <c r="D15" i="9"/>
  <c r="E15" i="9"/>
  <c r="F15" i="9" s="1"/>
  <c r="G15" i="9" s="1"/>
  <c r="S19" i="9" s="1"/>
  <c r="C16" i="9"/>
  <c r="D16" i="9"/>
  <c r="E16" i="9"/>
  <c r="F16" i="9"/>
  <c r="G16" i="9"/>
  <c r="C17" i="9"/>
  <c r="D17" i="9"/>
  <c r="E17" i="9"/>
  <c r="F17" i="9" s="1"/>
  <c r="G17" i="9" s="1"/>
  <c r="C18" i="9"/>
  <c r="E18" i="9" s="1"/>
  <c r="F18" i="9" s="1"/>
  <c r="G18" i="9" s="1"/>
  <c r="D18" i="9"/>
  <c r="C19" i="9"/>
  <c r="E19" i="9" s="1"/>
  <c r="F19" i="9" s="1"/>
  <c r="D19" i="9"/>
  <c r="C20" i="9"/>
  <c r="D20" i="9"/>
  <c r="E20" i="9"/>
  <c r="F20" i="9" s="1"/>
  <c r="G20" i="9" s="1"/>
  <c r="D11" i="9"/>
  <c r="G88" i="8"/>
  <c r="D130" i="8"/>
  <c r="G106" i="8"/>
  <c r="G89" i="8"/>
  <c r="H89" i="8" s="1"/>
  <c r="F87" i="8"/>
  <c r="G87" i="8" s="1"/>
  <c r="H87" i="8" s="1"/>
  <c r="F88" i="8"/>
  <c r="H88" i="8" s="1"/>
  <c r="F89" i="8"/>
  <c r="F90" i="8"/>
  <c r="G90" i="8" s="1"/>
  <c r="H90" i="8" s="1"/>
  <c r="F91" i="8"/>
  <c r="G91" i="8" s="1"/>
  <c r="H91" i="8" s="1"/>
  <c r="F92" i="8"/>
  <c r="G92" i="8" s="1"/>
  <c r="H92" i="8" s="1"/>
  <c r="C51" i="8"/>
  <c r="C50" i="8"/>
  <c r="C49" i="8"/>
  <c r="C48" i="8"/>
  <c r="C47" i="8"/>
  <c r="C46" i="8"/>
  <c r="C45" i="8"/>
  <c r="C44" i="8"/>
  <c r="J22" i="8"/>
  <c r="K22" i="8" s="1"/>
  <c r="I22" i="8"/>
  <c r="E22" i="8"/>
  <c r="D22" i="8"/>
  <c r="J21" i="8"/>
  <c r="K21" i="8" s="1"/>
  <c r="I21" i="8"/>
  <c r="E21" i="8"/>
  <c r="D21" i="8"/>
  <c r="J20" i="8"/>
  <c r="K20" i="8" s="1"/>
  <c r="I20" i="8"/>
  <c r="E20" i="8"/>
  <c r="D20" i="8"/>
  <c r="J19" i="8"/>
  <c r="K19" i="8" s="1"/>
  <c r="I19" i="8"/>
  <c r="E19" i="8"/>
  <c r="D19" i="8"/>
  <c r="J18" i="8"/>
  <c r="K18" i="8" s="1"/>
  <c r="I18" i="8"/>
  <c r="E18" i="8"/>
  <c r="D18" i="8"/>
  <c r="J17" i="8"/>
  <c r="K17" i="8" s="1"/>
  <c r="I17" i="8"/>
  <c r="J16" i="8"/>
  <c r="K16" i="8" s="1"/>
  <c r="I16" i="8"/>
  <c r="J15" i="8"/>
  <c r="K15" i="8" s="1"/>
  <c r="I15" i="8"/>
  <c r="J14" i="8"/>
  <c r="K14" i="8" s="1"/>
  <c r="I14" i="8"/>
  <c r="D11" i="8"/>
  <c r="J10" i="8"/>
  <c r="I10" i="8"/>
  <c r="K10" i="8" s="1"/>
  <c r="A10" i="8"/>
  <c r="D12" i="8" s="1"/>
  <c r="J9" i="8"/>
  <c r="I9" i="8"/>
  <c r="K9" i="8" s="1"/>
  <c r="J8" i="8"/>
  <c r="I8" i="8"/>
  <c r="K8" i="8" s="1"/>
  <c r="AC7" i="8" s="1"/>
  <c r="A8" i="8"/>
  <c r="C4" i="8" s="1"/>
  <c r="AC5" i="8" s="1"/>
  <c r="J7" i="8"/>
  <c r="I7" i="8"/>
  <c r="K7" i="8" s="1"/>
  <c r="D7" i="8"/>
  <c r="C7" i="8"/>
  <c r="J6" i="8"/>
  <c r="I6" i="8"/>
  <c r="K6" i="8" s="1"/>
  <c r="G99" i="8" s="1"/>
  <c r="J5" i="8"/>
  <c r="I5" i="8"/>
  <c r="J4" i="8"/>
  <c r="I4" i="8"/>
  <c r="K4" i="8" s="1"/>
  <c r="F4" i="8"/>
  <c r="J3" i="8"/>
  <c r="I3" i="8"/>
  <c r="C11" i="9"/>
  <c r="B3" i="5"/>
  <c r="B2" i="5"/>
  <c r="I5" i="9" l="1"/>
  <c r="C26" i="9"/>
  <c r="L16" i="9"/>
  <c r="L17" i="9"/>
  <c r="C42" i="9"/>
  <c r="C28" i="9"/>
  <c r="C27" i="9"/>
  <c r="U8" i="9"/>
  <c r="Q31" i="9"/>
  <c r="L20" i="9"/>
  <c r="M20" i="9" s="1"/>
  <c r="U9" i="9" s="1"/>
  <c r="Q20" i="9"/>
  <c r="Q19" i="9"/>
  <c r="Q25" i="9"/>
  <c r="S24" i="9"/>
  <c r="G19" i="9"/>
  <c r="Q24" i="9"/>
  <c r="S23" i="9"/>
  <c r="L18" i="9"/>
  <c r="M18" i="9" s="1"/>
  <c r="C44" i="9" s="1"/>
  <c r="Q7" i="9" s="1"/>
  <c r="S22" i="9"/>
  <c r="Q8" i="9"/>
  <c r="L15" i="9"/>
  <c r="M15" i="9" s="1"/>
  <c r="L22" i="9"/>
  <c r="S26" i="9"/>
  <c r="S21" i="9"/>
  <c r="S20" i="9"/>
  <c r="S27" i="9"/>
  <c r="L21" i="9"/>
  <c r="M21" i="9" s="1"/>
  <c r="N21" i="9" s="1"/>
  <c r="Q34" i="9" s="1"/>
  <c r="S25" i="9"/>
  <c r="L19" i="9"/>
  <c r="Q26" i="9"/>
  <c r="U11" i="9"/>
  <c r="M17" i="9"/>
  <c r="C46" i="9" s="1"/>
  <c r="Q10" i="9" s="1"/>
  <c r="M16" i="9"/>
  <c r="N16" i="9" s="1"/>
  <c r="Q39" i="9" s="1"/>
  <c r="E7" i="8"/>
  <c r="E12" i="8"/>
  <c r="E11" i="8"/>
  <c r="F115" i="8"/>
  <c r="G100" i="8"/>
  <c r="E102" i="8"/>
  <c r="H115" i="8"/>
  <c r="G115" i="8"/>
  <c r="H120" i="8"/>
  <c r="G118" i="8"/>
  <c r="H118" i="8"/>
  <c r="AI6" i="8"/>
  <c r="AI8" i="8"/>
  <c r="AI5" i="8"/>
  <c r="F118" i="8"/>
  <c r="G120" i="8"/>
  <c r="AC8" i="8"/>
  <c r="AI7" i="8"/>
  <c r="AI4" i="8"/>
  <c r="AI3" i="8"/>
  <c r="F120" i="8"/>
  <c r="AI9" i="8"/>
  <c r="K3" i="8"/>
  <c r="N44" i="8" s="1"/>
  <c r="E45" i="8"/>
  <c r="I45" i="8"/>
  <c r="H45" i="8"/>
  <c r="O45" i="8"/>
  <c r="L45" i="8"/>
  <c r="K45" i="8"/>
  <c r="J45" i="8"/>
  <c r="N45" i="8"/>
  <c r="M45" i="8"/>
  <c r="G45" i="8"/>
  <c r="F45" i="8"/>
  <c r="O51" i="8"/>
  <c r="F101" i="8"/>
  <c r="AC6" i="8"/>
  <c r="D107" i="8"/>
  <c r="G101" i="8"/>
  <c r="E101" i="8"/>
  <c r="E115" i="8"/>
  <c r="K92" i="8"/>
  <c r="E119" i="8"/>
  <c r="AG3" i="8"/>
  <c r="E98" i="8"/>
  <c r="AG4" i="8"/>
  <c r="AG8" i="8"/>
  <c r="E118" i="8"/>
  <c r="E121" i="8"/>
  <c r="I92" i="8"/>
  <c r="F98" i="8" s="1"/>
  <c r="AG9" i="8"/>
  <c r="E116" i="8"/>
  <c r="E120" i="8"/>
  <c r="AC3" i="8"/>
  <c r="E117" i="8"/>
  <c r="AG5" i="8"/>
  <c r="AG6" i="8"/>
  <c r="AG7" i="8"/>
  <c r="K91" i="8"/>
  <c r="I91" i="8"/>
  <c r="I89" i="8"/>
  <c r="K89" i="8"/>
  <c r="J137" i="8"/>
  <c r="D120" i="8"/>
  <c r="D117" i="8"/>
  <c r="G137" i="8"/>
  <c r="D115" i="8"/>
  <c r="D106" i="8"/>
  <c r="AF4" i="8"/>
  <c r="AF9" i="8"/>
  <c r="D137" i="8"/>
  <c r="I87" i="8"/>
  <c r="F97" i="8" s="1"/>
  <c r="D119" i="8"/>
  <c r="AF3" i="8"/>
  <c r="D116" i="8"/>
  <c r="AF5" i="8"/>
  <c r="AF6" i="8"/>
  <c r="K87" i="8"/>
  <c r="AF7" i="8"/>
  <c r="AC4" i="8"/>
  <c r="D121" i="8"/>
  <c r="D118" i="8"/>
  <c r="AF8" i="8"/>
  <c r="J107" i="8"/>
  <c r="E97" i="8"/>
  <c r="F50" i="8"/>
  <c r="J50" i="8"/>
  <c r="I50" i="8"/>
  <c r="G50" i="8"/>
  <c r="H50" i="8"/>
  <c r="M50" i="8"/>
  <c r="L50" i="8"/>
  <c r="K50" i="8"/>
  <c r="O50" i="8"/>
  <c r="N50" i="8"/>
  <c r="K90" i="8"/>
  <c r="I90" i="8"/>
  <c r="I88" i="8"/>
  <c r="K88" i="8"/>
  <c r="G116" i="8"/>
  <c r="F121" i="8"/>
  <c r="AJ6" i="8"/>
  <c r="AJ7" i="8"/>
  <c r="H116" i="8"/>
  <c r="G121" i="8"/>
  <c r="AJ5" i="8"/>
  <c r="AJ8" i="8"/>
  <c r="F116" i="8"/>
  <c r="E99" i="8"/>
  <c r="AH7" i="8"/>
  <c r="F99" i="8"/>
  <c r="J108" i="8"/>
  <c r="F117" i="8"/>
  <c r="AH6" i="8"/>
  <c r="AJ3" i="8"/>
  <c r="F119" i="8"/>
  <c r="G119" i="8"/>
  <c r="AH9" i="8"/>
  <c r="J110" i="8"/>
  <c r="G117" i="8"/>
  <c r="AH5" i="8"/>
  <c r="K5" i="8"/>
  <c r="N46" i="8" s="1"/>
  <c r="AJ9" i="8"/>
  <c r="H121" i="8"/>
  <c r="AH8" i="8"/>
  <c r="E100" i="8"/>
  <c r="H117" i="8"/>
  <c r="AH4" i="8"/>
  <c r="AJ4" i="8"/>
  <c r="H119" i="8"/>
  <c r="F100" i="8"/>
  <c r="AH3" i="8"/>
  <c r="I49" i="8"/>
  <c r="H49" i="8"/>
  <c r="L49" i="8"/>
  <c r="K49" i="8"/>
  <c r="J49" i="8"/>
  <c r="G49" i="8"/>
  <c r="F49" i="8"/>
  <c r="E49" i="8"/>
  <c r="D49" i="8"/>
  <c r="O49" i="8"/>
  <c r="N49" i="8"/>
  <c r="M49" i="8"/>
  <c r="O47" i="8"/>
  <c r="J47" i="8"/>
  <c r="F47" i="8"/>
  <c r="D47" i="8"/>
  <c r="L47" i="8"/>
  <c r="K47" i="8"/>
  <c r="I47" i="8"/>
  <c r="E47" i="8"/>
  <c r="N47" i="8"/>
  <c r="M47" i="8"/>
  <c r="H47" i="8"/>
  <c r="G47" i="8"/>
  <c r="J48" i="8"/>
  <c r="O48" i="8"/>
  <c r="I48" i="8"/>
  <c r="H48" i="8"/>
  <c r="G48" i="8"/>
  <c r="N48" i="8"/>
  <c r="L48" i="8"/>
  <c r="K48" i="8"/>
  <c r="F48" i="8"/>
  <c r="E48" i="8"/>
  <c r="D48" i="8"/>
  <c r="M48" i="8"/>
  <c r="F20" i="8"/>
  <c r="F7" i="8"/>
  <c r="F22" i="8"/>
  <c r="F21" i="8"/>
  <c r="D4" i="8"/>
  <c r="J92" i="8" s="1"/>
  <c r="G108" i="8" s="1"/>
  <c r="F19" i="8"/>
  <c r="E4" i="8"/>
  <c r="F102" i="8" s="1"/>
  <c r="D51" i="8"/>
  <c r="E51" i="8"/>
  <c r="G51" i="8"/>
  <c r="H51" i="8"/>
  <c r="I51" i="8"/>
  <c r="J51" i="8"/>
  <c r="K51" i="8"/>
  <c r="D13" i="8"/>
  <c r="E13" i="8" s="1"/>
  <c r="L51" i="8"/>
  <c r="M51" i="8"/>
  <c r="D45" i="8"/>
  <c r="E50" i="8"/>
  <c r="N51" i="8"/>
  <c r="F51" i="8"/>
  <c r="D50" i="8"/>
  <c r="K26" i="9" l="1"/>
  <c r="K39" i="9"/>
  <c r="K34" i="9"/>
  <c r="D28" i="9"/>
  <c r="C29" i="9" s="1"/>
  <c r="K35" i="9"/>
  <c r="K48" i="9"/>
  <c r="K28" i="9"/>
  <c r="K47" i="9"/>
  <c r="K33" i="9"/>
  <c r="K43" i="9"/>
  <c r="K27" i="9"/>
  <c r="K32" i="9"/>
  <c r="K44" i="9"/>
  <c r="K42" i="9"/>
  <c r="K46" i="9"/>
  <c r="K31" i="9"/>
  <c r="K30" i="9"/>
  <c r="K41" i="9"/>
  <c r="K45" i="9"/>
  <c r="K29" i="9"/>
  <c r="E35" i="9"/>
  <c r="G28" i="9"/>
  <c r="N20" i="9"/>
  <c r="Q35" i="9" s="1"/>
  <c r="N17" i="9"/>
  <c r="Q37" i="9" s="1"/>
  <c r="M22" i="9"/>
  <c r="J5" i="9" s="1"/>
  <c r="Q27" i="9"/>
  <c r="Q22" i="9"/>
  <c r="M19" i="9"/>
  <c r="U12" i="9" s="1"/>
  <c r="Q21" i="9"/>
  <c r="Q18" i="9"/>
  <c r="Q23" i="9"/>
  <c r="U10" i="9"/>
  <c r="N19" i="9"/>
  <c r="Q38" i="9" s="1"/>
  <c r="N15" i="9"/>
  <c r="Q40" i="9" s="1"/>
  <c r="U14" i="9"/>
  <c r="N18" i="9"/>
  <c r="Q36" i="9" s="1"/>
  <c r="U7" i="9"/>
  <c r="C48" i="9"/>
  <c r="Q13" i="9" s="1"/>
  <c r="U13" i="9"/>
  <c r="C49" i="9"/>
  <c r="Q14" i="9" s="1"/>
  <c r="C45" i="9"/>
  <c r="Q9" i="9" s="1"/>
  <c r="L89" i="8"/>
  <c r="K44" i="8"/>
  <c r="L91" i="8"/>
  <c r="D14" i="8"/>
  <c r="L44" i="8"/>
  <c r="J89" i="8"/>
  <c r="H44" i="8"/>
  <c r="I44" i="8"/>
  <c r="E14" i="8"/>
  <c r="M44" i="8"/>
  <c r="E44" i="8"/>
  <c r="G44" i="8"/>
  <c r="F44" i="8"/>
  <c r="J91" i="8"/>
  <c r="D44" i="8"/>
  <c r="O44" i="8"/>
  <c r="M4" i="8" s="1" a="1"/>
  <c r="M4" i="8" s="1"/>
  <c r="J88" i="8"/>
  <c r="J90" i="8"/>
  <c r="J44" i="8"/>
  <c r="L88" i="8"/>
  <c r="L90" i="8"/>
  <c r="J46" i="8"/>
  <c r="M46" i="8"/>
  <c r="O46" i="8"/>
  <c r="G98" i="8"/>
  <c r="L92" i="8"/>
  <c r="H46" i="8"/>
  <c r="G46" i="8"/>
  <c r="G97" i="8"/>
  <c r="L87" i="8"/>
  <c r="E46" i="8"/>
  <c r="D46" i="8"/>
  <c r="I46" i="8"/>
  <c r="F46" i="8"/>
  <c r="L46" i="8"/>
  <c r="I117" i="8"/>
  <c r="J117" i="8" s="1"/>
  <c r="I116" i="8"/>
  <c r="J116" i="8" s="1"/>
  <c r="I118" i="8"/>
  <c r="J118" i="8" s="1"/>
  <c r="G102" i="8"/>
  <c r="I120" i="8"/>
  <c r="J120" i="8" s="1"/>
  <c r="L120" i="8" s="1"/>
  <c r="I119" i="8"/>
  <c r="J119" i="8" s="1"/>
  <c r="L119" i="8" s="1"/>
  <c r="I121" i="8"/>
  <c r="J121" i="8" s="1"/>
  <c r="I115" i="8"/>
  <c r="K46" i="8"/>
  <c r="D108" i="8"/>
  <c r="D110" i="8" s="1"/>
  <c r="D109" i="8"/>
  <c r="J87" i="8"/>
  <c r="J115" i="8"/>
  <c r="L115" i="8" s="1"/>
  <c r="D2" i="3"/>
  <c r="C44" i="1"/>
  <c r="C45" i="1"/>
  <c r="C46" i="1"/>
  <c r="C47" i="1"/>
  <c r="C48" i="1"/>
  <c r="C49" i="1"/>
  <c r="C50" i="1"/>
  <c r="C51" i="1"/>
  <c r="A10" i="1"/>
  <c r="D12" i="1" s="1"/>
  <c r="A8" i="1"/>
  <c r="E22" i="1"/>
  <c r="D22" i="1"/>
  <c r="E21" i="1"/>
  <c r="D21" i="1"/>
  <c r="E20" i="1"/>
  <c r="D20" i="1"/>
  <c r="E19" i="1"/>
  <c r="D19" i="1"/>
  <c r="E18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I14" i="1"/>
  <c r="J10" i="1"/>
  <c r="I10" i="1"/>
  <c r="K10" i="1" s="1"/>
  <c r="D51" i="1" s="1"/>
  <c r="J9" i="1"/>
  <c r="I9" i="1"/>
  <c r="K9" i="1" s="1"/>
  <c r="N50" i="1" s="1"/>
  <c r="J8" i="1"/>
  <c r="I8" i="1"/>
  <c r="J7" i="1"/>
  <c r="I7" i="1"/>
  <c r="K7" i="1" s="1"/>
  <c r="K48" i="1" s="1"/>
  <c r="J6" i="1"/>
  <c r="I6" i="1"/>
  <c r="K6" i="1" s="1"/>
  <c r="D47" i="1" s="1"/>
  <c r="J5" i="1"/>
  <c r="I5" i="1"/>
  <c r="K5" i="1" s="1"/>
  <c r="I46" i="1" s="1"/>
  <c r="J4" i="1"/>
  <c r="I4" i="1"/>
  <c r="K4" i="1" s="1"/>
  <c r="J45" i="1" s="1"/>
  <c r="J3" i="1"/>
  <c r="I3" i="1"/>
  <c r="K3" i="1" s="1"/>
  <c r="D7" i="1"/>
  <c r="E11" i="9" s="1"/>
  <c r="B12" i="3"/>
  <c r="H8" i="5"/>
  <c r="D3" i="5"/>
  <c r="C3" i="5"/>
  <c r="E3" i="5" s="1"/>
  <c r="D2" i="5"/>
  <c r="C2" i="5"/>
  <c r="E2" i="5" s="1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D10" i="3"/>
  <c r="C10" i="3"/>
  <c r="E10" i="3" s="1"/>
  <c r="D9" i="3"/>
  <c r="C9" i="3"/>
  <c r="E9" i="3" s="1"/>
  <c r="D8" i="3"/>
  <c r="C8" i="3"/>
  <c r="E8" i="3" s="1"/>
  <c r="D7" i="3"/>
  <c r="C7" i="3"/>
  <c r="E7" i="3" s="1"/>
  <c r="D6" i="3"/>
  <c r="C6" i="3"/>
  <c r="E6" i="3" s="1"/>
  <c r="D5" i="3"/>
  <c r="C5" i="3"/>
  <c r="E5" i="3" s="1"/>
  <c r="D4" i="3"/>
  <c r="C4" i="3"/>
  <c r="E4" i="3" s="1"/>
  <c r="D3" i="3"/>
  <c r="C3" i="3"/>
  <c r="E3" i="3" s="1"/>
  <c r="C2" i="3"/>
  <c r="G44" i="1" l="1"/>
  <c r="D44" i="1"/>
  <c r="L39" i="9"/>
  <c r="L41" i="9"/>
  <c r="L42" i="9"/>
  <c r="L43" i="9"/>
  <c r="L48" i="9"/>
  <c r="E28" i="9"/>
  <c r="F28" i="9" s="1"/>
  <c r="L44" i="9"/>
  <c r="N22" i="9"/>
  <c r="Q33" i="9" s="1"/>
  <c r="L45" i="9"/>
  <c r="L46" i="9"/>
  <c r="L47" i="9"/>
  <c r="F35" i="9"/>
  <c r="L28" i="9"/>
  <c r="N28" i="9"/>
  <c r="M28" i="9"/>
  <c r="N31" i="9"/>
  <c r="L31" i="9"/>
  <c r="M31" i="9"/>
  <c r="L35" i="9"/>
  <c r="M35" i="9"/>
  <c r="N35" i="9"/>
  <c r="M30" i="9"/>
  <c r="N30" i="9"/>
  <c r="L30" i="9"/>
  <c r="M27" i="9"/>
  <c r="N27" i="9"/>
  <c r="L27" i="9"/>
  <c r="G29" i="9"/>
  <c r="D26" i="9"/>
  <c r="K5" i="9"/>
  <c r="D27" i="9" s="1"/>
  <c r="C43" i="9"/>
  <c r="Q11" i="9" s="1"/>
  <c r="L5" i="9"/>
  <c r="N5" i="9"/>
  <c r="B33" i="9" s="1"/>
  <c r="M5" i="9"/>
  <c r="C37" i="9" s="1"/>
  <c r="F37" i="9"/>
  <c r="N29" i="9"/>
  <c r="M29" i="9"/>
  <c r="L29" i="9"/>
  <c r="M32" i="9"/>
  <c r="L32" i="9"/>
  <c r="N32" i="9"/>
  <c r="N33" i="9"/>
  <c r="M33" i="9"/>
  <c r="L33" i="9"/>
  <c r="C30" i="9"/>
  <c r="G30" i="9" s="1"/>
  <c r="L34" i="9"/>
  <c r="N34" i="9"/>
  <c r="M34" i="9"/>
  <c r="F29" i="9"/>
  <c r="M26" i="9"/>
  <c r="N26" i="9"/>
  <c r="L26" i="9"/>
  <c r="R22" i="9"/>
  <c r="C47" i="9"/>
  <c r="Q12" i="9" s="1"/>
  <c r="R20" i="9"/>
  <c r="R19" i="9"/>
  <c r="R18" i="9"/>
  <c r="R23" i="9"/>
  <c r="R26" i="9"/>
  <c r="R24" i="9"/>
  <c r="R21" i="9"/>
  <c r="R25" i="9"/>
  <c r="R27" i="9"/>
  <c r="K115" i="8"/>
  <c r="L121" i="8"/>
  <c r="K121" i="8"/>
  <c r="L117" i="8"/>
  <c r="K117" i="8"/>
  <c r="L116" i="8"/>
  <c r="K116" i="8"/>
  <c r="L118" i="8"/>
  <c r="K118" i="8"/>
  <c r="K120" i="8"/>
  <c r="D131" i="8"/>
  <c r="G107" i="8"/>
  <c r="K119" i="8"/>
  <c r="K16" i="1"/>
  <c r="E2" i="3"/>
  <c r="J14" i="1" s="1"/>
  <c r="K14" i="1" s="1"/>
  <c r="K18" i="1"/>
  <c r="K19" i="1"/>
  <c r="K20" i="1"/>
  <c r="K22" i="1"/>
  <c r="M45" i="1"/>
  <c r="O44" i="1"/>
  <c r="N44" i="1"/>
  <c r="K8" i="1"/>
  <c r="H49" i="1" s="1"/>
  <c r="O45" i="1"/>
  <c r="N45" i="1"/>
  <c r="M44" i="1"/>
  <c r="F48" i="1"/>
  <c r="I48" i="1"/>
  <c r="H48" i="1"/>
  <c r="L50" i="1"/>
  <c r="K50" i="1"/>
  <c r="G48" i="1"/>
  <c r="E48" i="1"/>
  <c r="D48" i="1"/>
  <c r="M50" i="1"/>
  <c r="J50" i="1"/>
  <c r="I50" i="1"/>
  <c r="H50" i="1"/>
  <c r="G50" i="1"/>
  <c r="F44" i="1"/>
  <c r="D50" i="1"/>
  <c r="G46" i="1"/>
  <c r="F46" i="1"/>
  <c r="N51" i="1"/>
  <c r="M51" i="1"/>
  <c r="E46" i="1"/>
  <c r="D46" i="1"/>
  <c r="L51" i="1"/>
  <c r="O47" i="1"/>
  <c r="K51" i="1"/>
  <c r="F50" i="1"/>
  <c r="E44" i="1"/>
  <c r="E50" i="1"/>
  <c r="H46" i="1"/>
  <c r="O51" i="1"/>
  <c r="J48" i="1"/>
  <c r="J51" i="1"/>
  <c r="N47" i="1"/>
  <c r="G47" i="1"/>
  <c r="D45" i="1"/>
  <c r="K44" i="1"/>
  <c r="M46" i="1"/>
  <c r="O48" i="1"/>
  <c r="G51" i="1"/>
  <c r="J44" i="1"/>
  <c r="L46" i="1"/>
  <c r="N48" i="1"/>
  <c r="F51" i="1"/>
  <c r="E7" i="1"/>
  <c r="L47" i="1"/>
  <c r="H47" i="1"/>
  <c r="I44" i="1"/>
  <c r="K46" i="1"/>
  <c r="M48" i="1"/>
  <c r="O50" i="1"/>
  <c r="E51" i="1"/>
  <c r="L45" i="1"/>
  <c r="M47" i="1"/>
  <c r="I45" i="1"/>
  <c r="K47" i="1"/>
  <c r="H45" i="1"/>
  <c r="J47" i="1"/>
  <c r="G45" i="1"/>
  <c r="I47" i="1"/>
  <c r="F45" i="1"/>
  <c r="E45" i="1"/>
  <c r="F47" i="1"/>
  <c r="O46" i="1"/>
  <c r="E47" i="1"/>
  <c r="I51" i="1"/>
  <c r="L44" i="1"/>
  <c r="N46" i="1"/>
  <c r="H51" i="1"/>
  <c r="H44" i="1"/>
  <c r="J46" i="1"/>
  <c r="L48" i="1"/>
  <c r="K45" i="1"/>
  <c r="G26" i="9" l="1"/>
  <c r="E26" i="9"/>
  <c r="F26" i="9" s="1"/>
  <c r="G27" i="9"/>
  <c r="E27" i="9"/>
  <c r="F27" i="9" s="1"/>
  <c r="C36" i="9"/>
  <c r="F36" i="9"/>
  <c r="G109" i="8"/>
  <c r="G110" i="8"/>
  <c r="D132" i="8"/>
  <c r="D133" i="8"/>
  <c r="D134" i="8"/>
  <c r="N49" i="1"/>
  <c r="K49" i="1"/>
  <c r="F22" i="1"/>
  <c r="J49" i="1"/>
  <c r="G49" i="1"/>
  <c r="F49" i="1"/>
  <c r="K17" i="1"/>
  <c r="K21" i="1"/>
  <c r="K15" i="1"/>
  <c r="O49" i="1"/>
  <c r="M4" i="1" s="1" a="1"/>
  <c r="M4" i="1" s="1"/>
  <c r="E49" i="1"/>
  <c r="D49" i="1"/>
  <c r="L49" i="1"/>
  <c r="I49" i="1"/>
  <c r="M49" i="1"/>
  <c r="D13" i="1"/>
  <c r="F7" i="1"/>
  <c r="F19" i="1"/>
  <c r="F21" i="1"/>
  <c r="F20" i="1"/>
  <c r="D14" i="1" l="1"/>
  <c r="E11" i="1" l="1"/>
  <c r="E14" i="1" s="1"/>
  <c r="E12" i="1"/>
  <c r="E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Luu, Anthony</author>
  </authors>
  <commentList>
    <comment ref="G29" authorId="0" shapeId="0" xr:uid="{C3A9CFE0-6FD2-4017-BF8C-1BF59E500F35}">
      <text>
        <r>
          <rPr>
            <b/>
            <sz val="9"/>
            <color indexed="81"/>
            <rFont val="Tahoma"/>
            <family val="2"/>
          </rPr>
          <t>Luu, Anthony:</t>
        </r>
        <r>
          <rPr>
            <sz val="9"/>
            <color indexed="81"/>
            <rFont val="Tahoma"/>
            <family val="2"/>
          </rPr>
          <t xml:space="preserve">
Break-even volume represents the point where fixed (hosted) and usage-based (on-demand) costs are equal. Below break-even means usage-based pricing is more cost-effective and fixed infrastructure may be underutilized. Above break-even means fixed infrastructure becomes more cost-effective as higher volume better utilizes the capacity.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<sst xmlns="http://schemas.openxmlformats.org/spreadsheetml/2006/main" count="688" uniqueCount="347">
  <si>
    <t>CONTROL PANEL</t>
  </si>
  <si>
    <t>KEY METRICS DASHBOARD</t>
  </si>
  <si>
    <t>MODEL COMPARISON</t>
  </si>
  <si>
    <t>ANNUAL RANKING</t>
  </si>
  <si>
    <t>MODEL SELECTION</t>
  </si>
  <si>
    <t>Model</t>
  </si>
  <si>
    <t>Input $/1M</t>
  </si>
  <si>
    <t>Output $/1M</t>
  </si>
  <si>
    <t>Est. Monthly Cost</t>
  </si>
  <si>
    <t>ANNUAL COST RANKING</t>
  </si>
  <si>
    <t>Selected Model</t>
  </si>
  <si>
    <t>TOTAL MONTHLY COST</t>
  </si>
  <si>
    <t>COST PER CASE</t>
  </si>
  <si>
    <t>ANNUAL PROJECTION</t>
  </si>
  <si>
    <t>TOKENS PER CASE</t>
  </si>
  <si>
    <t>Claude Haiku 4.5</t>
  </si>
  <si>
    <t>Annual Cost</t>
  </si>
  <si>
    <t>Claude Sonnet 4.6</t>
  </si>
  <si>
    <t>Claude Opus 4.7</t>
  </si>
  <si>
    <t>TOKEN PRICING</t>
  </si>
  <si>
    <t>INPUT TOKENS/CASE</t>
  </si>
  <si>
    <t>OUTPUT TOKENS/CASE</t>
  </si>
  <si>
    <t>INPUT:OUTPUT RATIO</t>
  </si>
  <si>
    <t>DAILY COST</t>
  </si>
  <si>
    <t>Nova Micro</t>
  </si>
  <si>
    <t>Input (per 1M tokens)</t>
  </si>
  <si>
    <t>Nova Lite</t>
  </si>
  <si>
    <t>Nova Pro</t>
  </si>
  <si>
    <t>Output (per 1M tokens)</t>
  </si>
  <si>
    <t>COST BREAKDOWN</t>
  </si>
  <si>
    <t>Nova Premier</t>
  </si>
  <si>
    <t>Component</t>
  </si>
  <si>
    <t>Monthly Cost</t>
  </si>
  <si>
    <t>% of Total</t>
  </si>
  <si>
    <t>Llama 3.3 70B</t>
  </si>
  <si>
    <t>Input Tokens</t>
  </si>
  <si>
    <t>VOLUME SETTINGS</t>
  </si>
  <si>
    <t>Output Tokens</t>
  </si>
  <si>
    <t>CATEGORY TOKEN USAGE</t>
  </si>
  <si>
    <t>Monthly Case Volume</t>
  </si>
  <si>
    <t>Infrastructure</t>
  </si>
  <si>
    <t>Category</t>
  </si>
  <si>
    <t>Agents</t>
  </si>
  <si>
    <t>Total Tokens</t>
  </si>
  <si>
    <t>TOTAL</t>
  </si>
  <si>
    <t>Income</t>
  </si>
  <si>
    <t>Number of Agents</t>
  </si>
  <si>
    <t>Non-Financial</t>
  </si>
  <si>
    <t>OPTIMIZATION SCENARIOS</t>
  </si>
  <si>
    <t>Residency/Citizenship</t>
  </si>
  <si>
    <t>Scenario</t>
  </si>
  <si>
    <t>Est. Tokens</t>
  </si>
  <si>
    <t>Reduction</t>
  </si>
  <si>
    <t>Monthly Savings</t>
  </si>
  <si>
    <t>Verification/Docs</t>
  </si>
  <si>
    <t>OVERHEAD CONFIG</t>
  </si>
  <si>
    <t>Full Naive Run</t>
  </si>
  <si>
    <t>Identity/Household</t>
  </si>
  <si>
    <t>Synthesis Input Tokens</t>
  </si>
  <si>
    <t>Core Only Run</t>
  </si>
  <si>
    <t>Resources</t>
  </si>
  <si>
    <t>Context Sharing</t>
  </si>
  <si>
    <t>Categorical Det.</t>
  </si>
  <si>
    <t>Synthesis Output Tokens</t>
  </si>
  <si>
    <t>Hierarchical Design</t>
  </si>
  <si>
    <t>Deductions</t>
  </si>
  <si>
    <t>Hybrid Rules+LLM</t>
  </si>
  <si>
    <t>Timeliness</t>
  </si>
  <si>
    <t>Infrastructure Cost %</t>
  </si>
  <si>
    <t>MULTI-MODEL COST ANALYSIS</t>
  </si>
  <si>
    <t>ANNUAL COST PROJECTION BY MODEL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</si>
  <si>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</si>
  <si>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</si>
  <si>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</si>
  <si>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</si>
  <si>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</si>
  <si>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</si>
  <si>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</si>
  <si>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</si>
  <si>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</si>
  <si>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</si>
  <si>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</si>
  <si>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</si>
  <si>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MODEL COMPARISON CONTROLS</t>
  </si>
  <si>
    <t>Select models below to dynamically compare Hosted vs On-Demand costs</t>
  </si>
  <si>
    <t>SELECT HOSTED MODEL</t>
  </si>
  <si>
    <t>SELECT ON-DEMAND MODEL</t>
  </si>
  <si>
    <t>LIVE COMPARISON RESULTS</t>
  </si>
  <si>
    <t>Llama</t>
  </si>
  <si>
    <t>Hosted Monthly</t>
  </si>
  <si>
    <t>(Annual)</t>
  </si>
  <si>
    <t>On-Demand Monthly</t>
  </si>
  <si>
    <t>Savings %</t>
  </si>
  <si>
    <t>Winner</t>
  </si>
  <si>
    <t>HOSTED vs ON-DEMAND COST ANALYSIS</t>
  </si>
  <si>
    <t>Cost</t>
  </si>
  <si>
    <t>Self-Hosted Infrastructure vs Pay-Per-Use Models</t>
  </si>
  <si>
    <t>Type</t>
  </si>
  <si>
    <t>Hosted OpenAI</t>
  </si>
  <si>
    <t>Hosted</t>
  </si>
  <si>
    <t>KEY PARAMETERS</t>
  </si>
  <si>
    <t>Tokens Per Case</t>
  </si>
  <si>
    <t>On-Demand</t>
  </si>
  <si>
    <t>Hosted Llama</t>
  </si>
  <si>
    <t>SELF-HOSTED INFRASTRUCTURE COSTS</t>
  </si>
  <si>
    <t>ON-DEMAND PAY-PER-USE COSTS</t>
  </si>
  <si>
    <t>Cost/Min</t>
  </si>
  <si>
    <t>Storage/Unit</t>
  </si>
  <si>
    <t>Hourly Cost</t>
  </si>
  <si>
    <t>Daily Cost</t>
  </si>
  <si>
    <t>Cost/Case</t>
  </si>
  <si>
    <t>Mistral</t>
  </si>
  <si>
    <t>Mixtral</t>
  </si>
  <si>
    <t>On-Demand (Nova Micro)</t>
  </si>
  <si>
    <t>Break-Even Line</t>
  </si>
  <si>
    <t>Flan</t>
  </si>
  <si>
    <t>Qwen</t>
  </si>
  <si>
    <t>OpenAI</t>
  </si>
  <si>
    <t>EXECUTIVE SUMMARY</t>
  </si>
  <si>
    <t>VOLUME SENSITIVITY ANALYSIS</t>
  </si>
  <si>
    <t>Metric</t>
  </si>
  <si>
    <t>Savings</t>
  </si>
  <si>
    <t>Recommendation</t>
  </si>
  <si>
    <t>Monthly Cases</t>
  </si>
  <si>
    <t>Difference</t>
  </si>
  <si>
    <t>Better Option</t>
  </si>
  <si>
    <t>Cost Per Case</t>
  </si>
  <si>
    <t>Break-Even Volume</t>
  </si>
  <si>
    <t>N/A</t>
  </si>
  <si>
    <t>Annual Cost Ranking</t>
  </si>
  <si>
    <t>Utilization Rate</t>
  </si>
  <si>
    <t>STRATEGIC RECOMMENDATION</t>
  </si>
  <si>
    <t>Current Volume:</t>
  </si>
  <si>
    <t>cases/month</t>
  </si>
  <si>
    <t>Monthly Savings:</t>
  </si>
  <si>
    <t>Annual Savings:</t>
  </si>
  <si>
    <t>Savings Rate:</t>
  </si>
  <si>
    <t>Volume Headroom:</t>
  </si>
  <si>
    <t>cases</t>
  </si>
  <si>
    <t>Best On-Demand:</t>
  </si>
  <si>
    <t>Best Hosted:</t>
  </si>
  <si>
    <t>Volume</t>
  </si>
  <si>
    <t>Break-Even</t>
  </si>
  <si>
    <t>CHART DATA (Helper)</t>
  </si>
  <si>
    <t>VOLUME CHART DATA</t>
  </si>
  <si>
    <t>Llama 3.3</t>
  </si>
  <si>
    <t>HOSTED MODELS DETAILED ANALYSIS</t>
  </si>
  <si>
    <t>Self-Hosted Infrastructure Cost Breakdown</t>
  </si>
  <si>
    <t>Daily Cost (24h)</t>
  </si>
  <si>
    <t>Break-Even Cases</t>
  </si>
  <si>
    <t>Cost/Case (6K)</t>
  </si>
  <si>
    <t>vs On-Demand</t>
  </si>
  <si>
    <t>COMPREHENSIVE HOSTED vs ON-DEMAND COMPARISON</t>
  </si>
  <si>
    <t>Side-by-Side Analysis at Current Volume (6,000 cases/month)</t>
  </si>
  <si>
    <t>Scalability</t>
  </si>
  <si>
    <t>Pros</t>
  </si>
  <si>
    <t>Cons</t>
  </si>
  <si>
    <t>HOSTED</t>
  </si>
  <si>
    <t>Llama (Self)</t>
  </si>
  <si>
    <t>Fixed</t>
  </si>
  <si>
    <t>Predictable cost</t>
  </si>
  <si>
    <t>Pays idle time</t>
  </si>
  <si>
    <t>OpenAI (Self)</t>
  </si>
  <si>
    <t>Full control</t>
  </si>
  <si>
    <t>2.5x more expensive</t>
  </si>
  <si>
    <t>ON-DEMAND</t>
  </si>
  <si>
    <t>Elastic</t>
  </si>
  <si>
    <t>Cheapest option</t>
  </si>
  <si>
    <t>Lower capability</t>
  </si>
  <si>
    <t>Good balance</t>
  </si>
  <si>
    <t>Mid-tier pricing</t>
  </si>
  <si>
    <t>Open weights</t>
  </si>
  <si>
    <t>Usage-based</t>
  </si>
  <si>
    <t>Your choice</t>
  </si>
  <si>
    <t>Variable</t>
  </si>
  <si>
    <t>KEY INSIGHTS &amp; DECISION METRICS</t>
  </si>
  <si>
    <t>COST RATIO ANALYSIS</t>
  </si>
  <si>
    <t>BREAK-EVEN ANALYSIS</t>
  </si>
  <si>
    <t>VOLUME SCALING IMPACT</t>
  </si>
  <si>
    <t>Hosted Llama Monthly</t>
  </si>
  <si>
    <t>Current Volume</t>
  </si>
  <si>
    <t>At 2x Volume (12K)</t>
  </si>
  <si>
    <t>Cost Comparison</t>
  </si>
  <si>
    <t>On-Demand Llama Monthly</t>
  </si>
  <si>
    <t>Hosted Llama Break-Even</t>
  </si>
  <si>
    <t>Hosted Cost (fixed)</t>
  </si>
  <si>
    <t>Savings (On-Demand)</t>
  </si>
  <si>
    <t>Hosted OpenAI Break-Even</t>
  </si>
  <si>
    <t>On-Demand Cost (scales)</t>
  </si>
  <si>
    <t>Savings Ratio</t>
  </si>
  <si>
    <t>Volume Headroom (Llama)</t>
  </si>
  <si>
    <t>At 10x Volume (60K)</t>
  </si>
  <si>
    <t>Annual Savings</t>
  </si>
  <si>
    <t>On-Demand @ 10x</t>
  </si>
  <si>
    <t>Cost comparison at different case volumes</t>
  </si>
  <si>
    <t>Best Option</t>
  </si>
  <si>
    <t>Savings vs Hosted</t>
  </si>
  <si>
    <t>KEY DECISION FACTORS</t>
  </si>
  <si>
    <t>WHEN TO CHOOSE HOSTED</t>
  </si>
  <si>
    <t>WHEN TO CHOOSE ON-DEMAND</t>
  </si>
  <si>
    <t>Volume &gt; 11,000+ cases/month</t>
  </si>
  <si>
    <t>Volume &lt; 11,000 cases/month</t>
  </si>
  <si>
    <t>Need predictable fixed costs</t>
  </si>
  <si>
    <t>Variable/unpredictable workloads</t>
  </si>
  <si>
    <t>Volume vs Break-Even</t>
  </si>
  <si>
    <t>Data sovereignty requirements</t>
  </si>
  <si>
    <t>Testing/POC phase</t>
  </si>
  <si>
    <t>Recommended Approach</t>
  </si>
  <si>
    <t>Custom model fine-tuning needed</t>
  </si>
  <si>
    <t>Need flexibility to switch models</t>
  </si>
  <si>
    <t>Estimated Savings</t>
  </si>
  <si>
    <t>Long-term commitment (12+ mo)</t>
  </si>
  <si>
    <t>Pay-per-use cost optimization</t>
  </si>
  <si>
    <t>BOTTOM LINE SUMMARY</t>
  </si>
  <si>
    <t>On-Demand Advantage</t>
  </si>
  <si>
    <t>Assumptions: Hosted costs assume 24/7 operation, 1 model unit. On-Demand costs based on actual token usage. All costs formula-driven from pricing inputs.</t>
  </si>
  <si>
    <t>Agent_Category</t>
  </si>
  <si>
    <t>Num_Agents</t>
  </si>
  <si>
    <t>Input_Tokens</t>
  </si>
  <si>
    <t>Output_Tokens</t>
  </si>
  <si>
    <t>Total_Tokens</t>
  </si>
  <si>
    <t>Residency_Citizenship</t>
  </si>
  <si>
    <t>Verification_Documentation</t>
  </si>
  <si>
    <t>Identity_Household</t>
  </si>
  <si>
    <t>Categorical_Determination</t>
  </si>
  <si>
    <t>Question_Code</t>
  </si>
  <si>
    <t>IH_1</t>
  </si>
  <si>
    <t>Identity &amp; Household</t>
  </si>
  <si>
    <t>IH_2</t>
  </si>
  <si>
    <t>IH_3</t>
  </si>
  <si>
    <t>IH_4</t>
  </si>
  <si>
    <t>RC_1</t>
  </si>
  <si>
    <t>Residency &amp; Citizenship</t>
  </si>
  <si>
    <t>RC_2</t>
  </si>
  <si>
    <t>RC_3</t>
  </si>
  <si>
    <t>RC_4</t>
  </si>
  <si>
    <t>RC_5</t>
  </si>
  <si>
    <t>TL_1</t>
  </si>
  <si>
    <t>TL_2</t>
  </si>
  <si>
    <t>NF_1</t>
  </si>
  <si>
    <t>NF_2</t>
  </si>
  <si>
    <t>NF_3</t>
  </si>
  <si>
    <t>NF_4</t>
  </si>
  <si>
    <t>NF_5</t>
  </si>
  <si>
    <t>RE_1</t>
  </si>
  <si>
    <t>RE_2</t>
  </si>
  <si>
    <t>RE_3</t>
  </si>
  <si>
    <t>RE_4</t>
  </si>
  <si>
    <t>RE_5</t>
  </si>
  <si>
    <t>IN_1</t>
  </si>
  <si>
    <t>IN_2</t>
  </si>
  <si>
    <t>IN_3</t>
  </si>
  <si>
    <t>IN_4</t>
  </si>
  <si>
    <t>IN_5</t>
  </si>
  <si>
    <t>IN_6</t>
  </si>
  <si>
    <t>IN_7</t>
  </si>
  <si>
    <t>CD_1</t>
  </si>
  <si>
    <t>Categorical Determination</t>
  </si>
  <si>
    <t>CD_2</t>
  </si>
  <si>
    <t>CD_3</t>
  </si>
  <si>
    <t>DE_1</t>
  </si>
  <si>
    <t>DE_2</t>
  </si>
  <si>
    <t>VD_1</t>
  </si>
  <si>
    <t>Verification &amp; Documentation</t>
  </si>
  <si>
    <t>VD_2</t>
  </si>
  <si>
    <t>VD_3</t>
  </si>
  <si>
    <t>VD_4</t>
  </si>
  <si>
    <t>VD_5</t>
  </si>
  <si>
    <t>Provider</t>
  </si>
  <si>
    <t>Model Name</t>
  </si>
  <si>
    <t>AWS Service</t>
  </si>
  <si>
    <t>Input Token Cost (USD / 1M tokens)</t>
  </si>
  <si>
    <t>Output Token Cost (USD / 1M tokens)</t>
  </si>
  <si>
    <t>Hosting / Compute Cost</t>
  </si>
  <si>
    <t>Hosting Notes</t>
  </si>
  <si>
    <t>Context Window</t>
  </si>
  <si>
    <t>Notes</t>
  </si>
  <si>
    <t>Anthropic</t>
  </si>
  <si>
    <t>Amazon Bedrock</t>
  </si>
  <si>
    <t>On-demand included; Provisioned Throughput available</t>
  </si>
  <si>
    <t>Provisioned throughput pricing varies by region/commitment</t>
  </si>
  <si>
    <t>200K–1M</t>
  </si>
  <si>
    <t>Low-cost fast inference</t>
  </si>
  <si>
    <t>Most common enterprise model</t>
  </si>
  <si>
    <t>1M</t>
  </si>
  <si>
    <t>Strong coding/reasoning balance</t>
  </si>
  <si>
    <t>Higher-end reasoning model</t>
  </si>
  <si>
    <t>Frontier reasoning model</t>
  </si>
  <si>
    <t>Amazon</t>
  </si>
  <si>
    <t>On-demand included</t>
  </si>
  <si>
    <t>No dedicated hosting required for serverless inference</t>
  </si>
  <si>
    <t>128K</t>
  </si>
  <si>
    <t>Lowest-cost AWS-native model</t>
  </si>
  <si>
    <t>Optimized for lightweight tasks</t>
  </si>
  <si>
    <t>300K</t>
  </si>
  <si>
    <t>Balanced low-cost model</t>
  </si>
  <si>
    <t>General enterprise workloads</t>
  </si>
  <si>
    <t>Good price/performance</t>
  </si>
  <si>
    <t>Premium AWS-native reasoning model</t>
  </si>
  <si>
    <t>Enterprise/high-quality generation</t>
  </si>
  <si>
    <t>Meta</t>
  </si>
  <si>
    <t>Open-weight Meta model</t>
  </si>
  <si>
    <t>Strong open model</t>
  </si>
  <si>
    <t>Llama 3.1 405B</t>
  </si>
  <si>
    <t>Very large open-weight model</t>
  </si>
  <si>
    <t>High-end open model</t>
  </si>
  <si>
    <t>Mistral Large</t>
  </si>
  <si>
    <t>European-hosted model provider</t>
  </si>
  <si>
    <t>Enterprise multilingual</t>
  </si>
  <si>
    <t>Cohere</t>
  </si>
  <si>
    <t>Command R+</t>
  </si>
  <si>
    <t>RAG-focused model</t>
  </si>
  <si>
    <t>Optimized for enterprise retrieval</t>
  </si>
  <si>
    <t>gpt-oss-120B</t>
  </si>
  <si>
    <t>Self-hosting via SageMaker or Bedrock deployment may require GPU instances</t>
  </si>
  <si>
    <t>Approximate GPU hosting: $2.50-$3.50/hr for A10G/A100 class</t>
  </si>
  <si>
    <t>Open-weight OpenAI model</t>
  </si>
  <si>
    <t>gpt-oss-20B</t>
  </si>
  <si>
    <t>Can run on smaller GPU infrastructure</t>
  </si>
  <si>
    <t>Approximate GPU hosting: ~$1/hr-$2/hr</t>
  </si>
  <si>
    <t>Smaller edge-friendly model</t>
  </si>
  <si>
    <t>Google</t>
  </si>
  <si>
    <t>Gemma 3 4B</t>
  </si>
  <si>
    <t>Gemma 3 12B</t>
  </si>
  <si>
    <t>Gemma 3 27B</t>
  </si>
  <si>
    <t>Hosted Models</t>
  </si>
  <si>
    <t>Cost Per min</t>
  </si>
  <si>
    <t>Storage Cost per model unit</t>
  </si>
  <si>
    <t>Open AI</t>
  </si>
  <si>
    <t>Group</t>
  </si>
  <si>
    <t>Rollup_Codes</t>
  </si>
  <si>
    <t>Core_QA_Agents</t>
  </si>
  <si>
    <t>Rollup_Step_Agents</t>
  </si>
  <si>
    <t>Description</t>
  </si>
  <si>
    <t>Estimated_Total_Tokens</t>
  </si>
  <si>
    <t>Reduction_vs_Full_Percent</t>
  </si>
  <si>
    <t>Full_Naive_Run</t>
  </si>
  <si>
    <t>All_38_agents_executed_independently</t>
  </si>
  <si>
    <t>Core_Only_Run</t>
  </si>
  <si>
    <t>Drop_rollup_duplicate_agents</t>
  </si>
  <si>
    <t>Core_Optimized_Context_Sharing</t>
  </si>
  <si>
    <t>Reuse_case_context_across_agents</t>
  </si>
  <si>
    <t>Hierarchical_Agent_Design</t>
  </si>
  <si>
    <t>CD_first_then_targeted_agents</t>
  </si>
  <si>
    <t>Hybrid_Rules_plus_LLM</t>
  </si>
  <si>
    <t>Deterministic_checks_offloaded</t>
  </si>
  <si>
    <t>COST BREAKDOWN (Per 1M Tokens)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</si>
</sst>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_(&quot;$&quot;* #,##0.00000_);_(&quot;$&quot;* \(#,##0.00000\);_(&quot;$&quot;* &quot;-&quot;??_);_(@_)"/>
    <numFmt numFmtId="166" formatCode="&quot;$&quot;#,##0"/>
    <numFmt numFmtId="167" formatCode="&quot;$&quot;#,##0.00"/>
    <numFmt numFmtId="168" formatCode="&quot;$&quot;0.00"/>
    <numFmt numFmtId="169" formatCode="0.0%"/>
    <numFmt numFmtId="170" formatCode="&quot;$&quot;0.0000"/>
    <numFmt numFmtId="171" formatCode="&quot;$&quot;0.000"/>
    <numFmt numFmtId="172" formatCode="&quot;$&quot;0.00000"/>
    <numFmt numFmtId="173" formatCode="0.0&quot;x&quot;"/>
  </numFmts>
  <fonts count="4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0B3677"/>
      <name val="Calibri"/>
      <family val="2"/>
      <scheme val="minor"/>
    </font>
    <font>
      <b/>
      <sz val="11"/>
      <color rgb="FF0B3677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rgb="FF0B3677"/>
      <name val="Calibri"/>
      <family val="2"/>
      <scheme val="minor"/>
    </font>
    <font>
      <b/>
      <sz val="14"/>
      <color rgb="FF00A0CA"/>
      <name val="Calibri"/>
      <family val="2"/>
      <scheme val="minor"/>
    </font>
    <font>
      <b/>
      <sz val="14"/>
      <color rgb="FF00CC66"/>
      <name val="Calibri"/>
      <family val="2"/>
      <scheme val="minor"/>
    </font>
    <font>
      <b/>
      <sz val="14"/>
      <color rgb="FF0B3677"/>
      <name val="Calibri"/>
      <family val="2"/>
      <scheme val="minor"/>
    </font>
    <font>
      <b/>
      <sz val="14"/>
      <color rgb="FFA11B7E"/>
      <name val="Calibri"/>
      <family val="2"/>
      <scheme val="minor"/>
    </font>
    <font>
      <b/>
      <sz val="14"/>
      <color rgb="FFEE2346"/>
      <name val="Calibri"/>
      <family val="2"/>
      <scheme val="minor"/>
    </font>
    <font>
      <sz val="11"/>
      <color rgb="FF0B3677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9"/>
      <color rgb="FF666666"/>
      <name val="Calibri"/>
      <family val="2"/>
      <scheme val="minor"/>
    </font>
    <font>
      <b/>
      <sz val="11"/>
      <color rgb="FF00CC66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1"/>
      <color rgb="FF0B3677"/>
      <name val="Calibri"/>
      <family val="2"/>
      <scheme val="minor"/>
    </font>
    <font>
      <sz val="10"/>
      <color rgb="FF0B3677"/>
      <name val="Calibri"/>
      <family val="2"/>
      <scheme val="minor"/>
    </font>
    <font>
      <b/>
      <sz val="16"/>
      <color rgb="FFE65100"/>
      <name val="Calibri"/>
      <family val="2"/>
      <scheme val="minor"/>
    </font>
    <font>
      <b/>
      <sz val="16"/>
      <color rgb="FF2E7D32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rgb="FF0B3677"/>
      <name val="Calibri"/>
      <family val="2"/>
      <scheme val="minor"/>
    </font>
    <font>
      <sz val="16"/>
      <color rgb="FFBF360C"/>
      <name val="Calibri"/>
      <family val="2"/>
      <scheme val="minor"/>
    </font>
    <font>
      <sz val="16"/>
      <color rgb="FF1B5E2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0B3677"/>
        <bgColor indexed="64"/>
      </patternFill>
    </fill>
    <fill>
      <patternFill patternType="solid">
        <fgColor rgb="FF00A0CA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FAB81F"/>
        <bgColor indexed="64"/>
      </patternFill>
    </fill>
    <fill>
      <patternFill patternType="solid">
        <fgColor rgb="FFA11B7E"/>
        <bgColor indexed="64"/>
      </patternFill>
    </fill>
    <fill>
      <patternFill patternType="solid">
        <fgColor rgb="FFE6F4F9"/>
        <bgColor indexed="64"/>
      </patternFill>
    </fill>
    <fill>
      <patternFill patternType="solid">
        <fgColor rgb="FFE6FFE6"/>
        <bgColor indexed="64"/>
      </patternFill>
    </fill>
    <fill>
      <patternFill patternType="solid">
        <fgColor rgb="FFF5E6F2"/>
        <bgColor indexed="64"/>
      </patternFill>
    </fill>
    <fill>
      <patternFill patternType="solid">
        <fgColor rgb="FFEE2346"/>
        <bgColor indexed="64"/>
      </patternFill>
    </fill>
    <fill>
      <patternFill patternType="solid">
        <fgColor rgb="FFFFE6EA"/>
        <bgColor indexed="64"/>
      </patternFill>
    </fill>
    <fill>
      <patternFill patternType="solid">
        <fgColor rgb="FFE6EBF5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E8F4F8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6F3FF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CBD5E1"/>
      </top>
      <bottom/>
      <diagonal/>
    </border>
    <border>
      <left style="thick">
        <color rgb="FF00D4FF"/>
      </left>
      <right/>
      <top/>
      <bottom/>
      <diagonal/>
    </border>
    <border>
      <left/>
      <right/>
      <top style="medium">
        <color rgb="FFCBD5E1"/>
      </top>
      <bottom/>
      <diagonal/>
    </border>
    <border>
      <left/>
      <right/>
      <top/>
      <bottom style="medium">
        <color rgb="FFCBD5E1"/>
      </bottom>
      <diagonal/>
    </border>
    <border>
      <left/>
      <right/>
      <top/>
      <bottom style="medium">
        <color rgb="FF0078D4"/>
      </bottom>
      <diagonal/>
    </border>
    <border>
      <left/>
      <right/>
      <top/>
      <bottom style="medium">
        <color rgb="FFCBD5E0"/>
      </bottom>
      <diagonal/>
    </border>
    <border>
      <left/>
      <right/>
      <top style="thin">
        <color rgb="FFCBD5E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CBD5E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/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/>
      <right/>
      <top style="thin">
        <color rgb="FFE2E8F0"/>
      </top>
      <bottom/>
      <diagonal/>
    </border>
    <border>
      <left/>
      <right/>
      <top/>
      <bottom style="medium">
        <color rgb="FFE2E8F0"/>
      </bottom>
      <diagonal/>
    </border>
    <border>
      <left style="thin">
        <color rgb="FFE2E8F0"/>
      </left>
      <right/>
      <top style="thin">
        <color rgb="FFE2E8F0"/>
      </top>
      <bottom/>
      <diagonal/>
    </border>
    <border>
      <left style="thin">
        <color rgb="FFE2E8F0"/>
      </left>
      <right/>
      <top style="medium">
        <color rgb="FFCBD5E1"/>
      </top>
      <bottom/>
      <diagonal/>
    </border>
    <border>
      <left style="thin">
        <color rgb="FFE2E8F0"/>
      </left>
      <right/>
      <top/>
      <bottom style="medium">
        <color rgb="FFCBD5E1"/>
      </bottom>
      <diagonal/>
    </border>
    <border>
      <left style="thin">
        <color rgb="FFE2E8F0"/>
      </left>
      <right/>
      <top/>
      <bottom style="medium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 style="medium">
        <color rgb="FFCBD5E1"/>
      </top>
      <bottom/>
      <diagonal/>
    </border>
    <border>
      <left/>
      <right style="thin">
        <color rgb="FFE2E8F0"/>
      </right>
      <top/>
      <bottom style="medium">
        <color rgb="FFCBD5E1"/>
      </bottom>
      <diagonal/>
    </border>
    <border>
      <left/>
      <right style="thin">
        <color rgb="FFE2E8F0"/>
      </right>
      <top/>
      <bottom style="medium">
        <color rgb="FFE2E8F0"/>
      </bottom>
      <diagonal/>
    </border>
    <border>
      <left style="thin">
        <color rgb="FFE2E8F0"/>
      </left>
      <right/>
      <top style="thin">
        <color rgb="FFCBD5E1"/>
      </top>
      <bottom/>
      <diagonal/>
    </border>
    <border>
      <left style="thin">
        <color rgb="FFE2E8F0"/>
      </left>
      <right/>
      <top style="thin">
        <color rgb="FFCBD5E0"/>
      </top>
      <bottom style="thin">
        <color rgb="FFE2E8F0"/>
      </bottom>
      <diagonal/>
    </border>
    <border>
      <left/>
      <right style="thin">
        <color rgb="FFE2E8F0"/>
      </right>
      <top style="thin">
        <color rgb="FFCBD5E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CBD5E0"/>
      </bottom>
      <diagonal/>
    </border>
    <border>
      <left/>
      <right style="thin">
        <color rgb="FFE2E8F0"/>
      </right>
      <top style="thin">
        <color rgb="FFE2E8F0"/>
      </top>
      <bottom style="thin">
        <color rgb="FFCBD5E0"/>
      </bottom>
      <diagonal/>
    </border>
    <border>
      <left/>
      <right/>
      <top style="medium">
        <color rgb="FF0B3677"/>
      </top>
      <bottom/>
      <diagonal/>
    </border>
    <border>
      <left/>
      <right/>
      <top/>
      <bottom style="medium">
        <color rgb="FF0B3677"/>
      </bottom>
      <diagonal/>
    </border>
    <border>
      <left style="medium">
        <color rgb="FF0B3677"/>
      </left>
      <right/>
      <top style="medium">
        <color rgb="FF0B3677"/>
      </top>
      <bottom/>
      <diagonal/>
    </border>
    <border>
      <left style="medium">
        <color rgb="FF0B3677"/>
      </left>
      <right/>
      <top/>
      <bottom/>
      <diagonal/>
    </border>
    <border>
      <left style="medium">
        <color rgb="FF0B3677"/>
      </left>
      <right/>
      <top/>
      <bottom style="medium">
        <color rgb="FF0B3677"/>
      </bottom>
      <diagonal/>
    </border>
    <border>
      <left/>
      <right style="medium">
        <color rgb="FF0B3677"/>
      </right>
      <top style="medium">
        <color rgb="FF0B3677"/>
      </top>
      <bottom/>
      <diagonal/>
    </border>
    <border>
      <left/>
      <right style="medium">
        <color rgb="FF0B3677"/>
      </right>
      <top/>
      <bottom/>
      <diagonal/>
    </border>
    <border>
      <left style="medium">
        <color rgb="FF0B3677"/>
      </left>
      <right/>
      <top/>
      <bottom style="thick">
        <color rgb="FF0B3677"/>
      </bottom>
      <diagonal/>
    </border>
    <border>
      <left/>
      <right/>
      <top/>
      <bottom style="thick">
        <color rgb="FF0B3677"/>
      </bottom>
      <diagonal/>
    </border>
    <border>
      <left style="thin">
        <color rgb="FFCCCCCC"/>
      </left>
      <right/>
      <top style="thin">
        <color rgb="FFCCCCCC"/>
      </top>
      <bottom style="medium">
        <color rgb="FF0B3677"/>
      </bottom>
      <diagonal/>
    </border>
    <border>
      <left style="thin">
        <color rgb="FFCCCCCC"/>
      </left>
      <right style="medium">
        <color rgb="FFCCCCCC"/>
      </right>
      <top style="thin">
        <color rgb="FFCCCCCC"/>
      </top>
      <bottom style="medium">
        <color rgb="FF0B3677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8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164" fontId="0" fillId="0" borderId="0" xfId="0" applyNumberFormat="1"/>
    <xf numFmtId="44" fontId="0" fillId="0" borderId="0" xfId="1" applyFont="1"/>
    <xf numFmtId="165" fontId="4" fillId="0" borderId="0" xfId="1" applyNumberFormat="1" applyFont="1"/>
    <xf numFmtId="0" fontId="1" fillId="0" borderId="0" xfId="0" applyFont="1"/>
    <xf numFmtId="44" fontId="1" fillId="0" borderId="0" xfId="1" applyFont="1"/>
    <xf numFmtId="166" fontId="0" fillId="0" borderId="0" xfId="0" applyNumberFormat="1"/>
    <xf numFmtId="3" fontId="0" fillId="0" borderId="0" xfId="0" applyNumberFormat="1"/>
    <xf numFmtId="0" fontId="3" fillId="2" borderId="0" xfId="0" applyFont="1" applyFill="1"/>
    <xf numFmtId="0" fontId="0" fillId="2" borderId="0" xfId="0" applyFill="1" applyAlignment="1">
      <alignment horizontal="center"/>
    </xf>
    <xf numFmtId="166" fontId="0" fillId="2" borderId="0" xfId="0" applyNumberFormat="1" applyFill="1"/>
    <xf numFmtId="0" fontId="0" fillId="2" borderId="7" xfId="0" applyFill="1" applyBorder="1"/>
    <xf numFmtId="166" fontId="0" fillId="2" borderId="10" xfId="0" applyNumberFormat="1" applyFill="1" applyBorder="1"/>
    <xf numFmtId="0" fontId="0" fillId="0" borderId="7" xfId="0" applyBorder="1"/>
    <xf numFmtId="0" fontId="0" fillId="0" borderId="10" xfId="0" applyBorder="1"/>
    <xf numFmtId="169" fontId="0" fillId="2" borderId="10" xfId="0" applyNumberFormat="1" applyFill="1" applyBorder="1"/>
    <xf numFmtId="166" fontId="0" fillId="2" borderId="0" xfId="0" applyNumberForma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2" borderId="1" xfId="0" applyFill="1" applyBorder="1"/>
    <xf numFmtId="166" fontId="0" fillId="2" borderId="1" xfId="0" applyNumberFormat="1" applyFill="1" applyBorder="1"/>
    <xf numFmtId="3" fontId="0" fillId="2" borderId="20" xfId="0" applyNumberFormat="1" applyFill="1" applyBorder="1" applyAlignment="1">
      <alignment horizontal="center"/>
    </xf>
    <xf numFmtId="169" fontId="0" fillId="2" borderId="20" xfId="0" applyNumberFormat="1" applyFill="1" applyBorder="1" applyAlignment="1">
      <alignment horizontal="center"/>
    </xf>
    <xf numFmtId="0" fontId="15" fillId="8" borderId="15" xfId="0" applyFont="1" applyFill="1" applyBorder="1" applyAlignment="1">
      <alignment horizontal="center"/>
    </xf>
    <xf numFmtId="0" fontId="21" fillId="9" borderId="15" xfId="0" applyFont="1" applyFill="1" applyBorder="1" applyAlignment="1">
      <alignment horizontal="center"/>
    </xf>
    <xf numFmtId="171" fontId="23" fillId="12" borderId="16" xfId="0" applyNumberFormat="1" applyFont="1" applyFill="1" applyBorder="1" applyAlignment="1">
      <alignment horizontal="center"/>
    </xf>
    <xf numFmtId="166" fontId="24" fillId="7" borderId="16" xfId="0" applyNumberFormat="1" applyFont="1" applyFill="1" applyBorder="1" applyAlignment="1">
      <alignment horizontal="center"/>
    </xf>
    <xf numFmtId="0" fontId="15" fillId="5" borderId="15" xfId="0" applyFont="1" applyFill="1" applyBorder="1" applyAlignment="1">
      <alignment horizontal="center"/>
    </xf>
    <xf numFmtId="0" fontId="15" fillId="6" borderId="15" xfId="0" applyFont="1" applyFill="1" applyBorder="1" applyAlignment="1">
      <alignment horizontal="center"/>
    </xf>
    <xf numFmtId="0" fontId="10" fillId="5" borderId="0" xfId="0" applyFont="1" applyFill="1"/>
    <xf numFmtId="0" fontId="7" fillId="6" borderId="13" xfId="0" applyFont="1" applyFill="1" applyBorder="1" applyAlignment="1">
      <alignment horizontal="center"/>
    </xf>
    <xf numFmtId="166" fontId="0" fillId="4" borderId="0" xfId="0" applyNumberFormat="1" applyFill="1" applyAlignment="1">
      <alignment horizontal="center"/>
    </xf>
    <xf numFmtId="0" fontId="7" fillId="6" borderId="19" xfId="0" applyFont="1" applyFill="1" applyBorder="1" applyAlignment="1">
      <alignment horizontal="center"/>
    </xf>
    <xf numFmtId="3" fontId="0" fillId="4" borderId="20" xfId="0" applyNumberFormat="1" applyFill="1" applyBorder="1" applyAlignment="1">
      <alignment horizontal="center"/>
    </xf>
    <xf numFmtId="169" fontId="0" fillId="4" borderId="20" xfId="0" applyNumberFormat="1" applyFill="1" applyBorder="1" applyAlignment="1">
      <alignment horizontal="center"/>
    </xf>
    <xf numFmtId="0" fontId="13" fillId="6" borderId="19" xfId="0" applyFont="1" applyFill="1" applyBorder="1" applyAlignment="1">
      <alignment horizontal="center"/>
    </xf>
    <xf numFmtId="167" fontId="27" fillId="4" borderId="20" xfId="0" applyNumberFormat="1" applyFont="1" applyFill="1" applyBorder="1" applyAlignment="1">
      <alignment horizontal="center"/>
    </xf>
    <xf numFmtId="167" fontId="27" fillId="2" borderId="20" xfId="0" applyNumberFormat="1" applyFont="1" applyFill="1" applyBorder="1" applyAlignment="1">
      <alignment horizontal="center"/>
    </xf>
    <xf numFmtId="0" fontId="27" fillId="4" borderId="20" xfId="0" applyFont="1" applyFill="1" applyBorder="1" applyAlignment="1">
      <alignment horizontal="center"/>
    </xf>
    <xf numFmtId="3" fontId="27" fillId="4" borderId="20" xfId="0" applyNumberFormat="1" applyFont="1" applyFill="1" applyBorder="1" applyAlignment="1">
      <alignment horizontal="center"/>
    </xf>
    <xf numFmtId="0" fontId="27" fillId="2" borderId="20" xfId="0" applyFont="1" applyFill="1" applyBorder="1" applyAlignment="1">
      <alignment horizontal="center"/>
    </xf>
    <xf numFmtId="3" fontId="27" fillId="2" borderId="20" xfId="0" applyNumberFormat="1" applyFont="1" applyFill="1" applyBorder="1" applyAlignment="1">
      <alignment horizontal="center"/>
    </xf>
    <xf numFmtId="3" fontId="24" fillId="16" borderId="28" xfId="0" applyNumberFormat="1" applyFont="1" applyFill="1" applyBorder="1" applyAlignment="1">
      <alignment horizontal="center"/>
    </xf>
    <xf numFmtId="0" fontId="22" fillId="11" borderId="28" xfId="0" applyFont="1" applyFill="1" applyBorder="1" applyAlignment="1">
      <alignment horizontal="center"/>
    </xf>
    <xf numFmtId="0" fontId="0" fillId="4" borderId="24" xfId="0" applyFill="1" applyBorder="1"/>
    <xf numFmtId="0" fontId="15" fillId="6" borderId="30" xfId="0" applyFont="1" applyFill="1" applyBorder="1" applyAlignment="1">
      <alignment horizontal="center"/>
    </xf>
    <xf numFmtId="166" fontId="22" fillId="11" borderId="31" xfId="0" applyNumberFormat="1" applyFont="1" applyFill="1" applyBorder="1" applyAlignment="1">
      <alignment horizontal="center"/>
    </xf>
    <xf numFmtId="0" fontId="15" fillId="14" borderId="30" xfId="0" applyFont="1" applyFill="1" applyBorder="1" applyAlignment="1">
      <alignment horizontal="center"/>
    </xf>
    <xf numFmtId="3" fontId="26" fillId="15" borderId="32" xfId="0" applyNumberFormat="1" applyFont="1" applyFill="1" applyBorder="1" applyAlignment="1">
      <alignment horizontal="center"/>
    </xf>
    <xf numFmtId="0" fontId="0" fillId="4" borderId="26" xfId="0" applyFill="1" applyBorder="1"/>
    <xf numFmtId="0" fontId="15" fillId="10" borderId="34" xfId="0" applyFont="1" applyFill="1" applyBorder="1" applyAlignment="1">
      <alignment horizontal="center"/>
    </xf>
    <xf numFmtId="3" fontId="25" fillId="13" borderId="35" xfId="0" applyNumberFormat="1" applyFont="1" applyFill="1" applyBorder="1" applyAlignment="1">
      <alignment horizontal="center"/>
    </xf>
    <xf numFmtId="0" fontId="15" fillId="8" borderId="34" xfId="0" applyFont="1" applyFill="1" applyBorder="1" applyAlignment="1">
      <alignment horizontal="center"/>
    </xf>
    <xf numFmtId="166" fontId="23" fillId="12" borderId="36" xfId="0" applyNumberFormat="1" applyFont="1" applyFill="1" applyBorder="1" applyAlignment="1">
      <alignment horizontal="center"/>
    </xf>
    <xf numFmtId="166" fontId="17" fillId="9" borderId="22" xfId="0" applyNumberFormat="1" applyFont="1" applyFill="1" applyBorder="1" applyAlignment="1">
      <alignment horizontal="center"/>
    </xf>
    <xf numFmtId="0" fontId="7" fillId="6" borderId="37" xfId="0" applyFont="1" applyFill="1" applyBorder="1" applyAlignment="1">
      <alignment horizontal="center"/>
    </xf>
    <xf numFmtId="0" fontId="0" fillId="2" borderId="24" xfId="0" applyFill="1" applyBorder="1"/>
    <xf numFmtId="0" fontId="17" fillId="9" borderId="25" xfId="0" applyFont="1" applyFill="1" applyBorder="1"/>
    <xf numFmtId="0" fontId="7" fillId="6" borderId="38" xfId="0" applyFont="1" applyFill="1" applyBorder="1" applyAlignment="1">
      <alignment horizontal="center"/>
    </xf>
    <xf numFmtId="0" fontId="0" fillId="4" borderId="23" xfId="0" applyFill="1" applyBorder="1"/>
    <xf numFmtId="0" fontId="0" fillId="2" borderId="23" xfId="0" applyFill="1" applyBorder="1"/>
    <xf numFmtId="0" fontId="7" fillId="6" borderId="39" xfId="0" applyFont="1" applyFill="1" applyBorder="1" applyAlignment="1">
      <alignment horizontal="center"/>
    </xf>
    <xf numFmtId="166" fontId="0" fillId="2" borderId="40" xfId="0" applyNumberFormat="1" applyFill="1" applyBorder="1" applyAlignment="1">
      <alignment horizontal="center"/>
    </xf>
    <xf numFmtId="166" fontId="0" fillId="4" borderId="40" xfId="0" applyNumberFormat="1" applyFill="1" applyBorder="1" applyAlignment="1">
      <alignment horizontal="center"/>
    </xf>
    <xf numFmtId="0" fontId="13" fillId="6" borderId="38" xfId="0" applyFont="1" applyFill="1" applyBorder="1" applyAlignment="1">
      <alignment horizontal="center"/>
    </xf>
    <xf numFmtId="0" fontId="27" fillId="2" borderId="23" xfId="0" applyFont="1" applyFill="1" applyBorder="1"/>
    <xf numFmtId="0" fontId="27" fillId="4" borderId="23" xfId="0" applyFont="1" applyFill="1" applyBorder="1"/>
    <xf numFmtId="0" fontId="13" fillId="6" borderId="39" xfId="0" applyFont="1" applyFill="1" applyBorder="1" applyAlignment="1">
      <alignment horizontal="center"/>
    </xf>
    <xf numFmtId="166" fontId="27" fillId="4" borderId="40" xfId="0" applyNumberFormat="1" applyFont="1" applyFill="1" applyBorder="1" applyAlignment="1">
      <alignment horizontal="center"/>
    </xf>
    <xf numFmtId="166" fontId="27" fillId="2" borderId="40" xfId="0" applyNumberFormat="1" applyFont="1" applyFill="1" applyBorder="1" applyAlignment="1">
      <alignment horizontal="center"/>
    </xf>
    <xf numFmtId="169" fontId="27" fillId="4" borderId="40" xfId="0" applyNumberFormat="1" applyFont="1" applyFill="1" applyBorder="1" applyAlignment="1">
      <alignment horizontal="center"/>
    </xf>
    <xf numFmtId="169" fontId="27" fillId="2" borderId="40" xfId="0" applyNumberFormat="1" applyFont="1" applyFill="1" applyBorder="1" applyAlignment="1">
      <alignment horizontal="center"/>
    </xf>
    <xf numFmtId="0" fontId="0" fillId="6" borderId="0" xfId="0" applyFill="1"/>
    <xf numFmtId="0" fontId="10" fillId="5" borderId="0" xfId="0" applyFont="1" applyFill="1" applyAlignment="1">
      <alignment horizontal="center" vertical="center" wrapText="1"/>
    </xf>
    <xf numFmtId="0" fontId="13" fillId="6" borderId="14" xfId="0" applyFont="1" applyFill="1" applyBorder="1" applyAlignment="1">
      <alignment wrapText="1"/>
    </xf>
    <xf numFmtId="0" fontId="18" fillId="7" borderId="17" xfId="0" applyFont="1" applyFill="1" applyBorder="1" applyAlignment="1">
      <alignment horizontal="center" wrapText="1"/>
    </xf>
    <xf numFmtId="0" fontId="19" fillId="3" borderId="0" xfId="0" applyFont="1" applyFill="1" applyAlignment="1">
      <alignment wrapText="1"/>
    </xf>
    <xf numFmtId="0" fontId="20" fillId="6" borderId="14" xfId="0" applyFont="1" applyFill="1" applyBorder="1" applyAlignment="1">
      <alignment wrapText="1"/>
    </xf>
    <xf numFmtId="167" fontId="18" fillId="7" borderId="18" xfId="0" applyNumberFormat="1" applyFont="1" applyFill="1" applyBorder="1" applyAlignment="1">
      <alignment horizontal="center" wrapText="1"/>
    </xf>
    <xf numFmtId="3" fontId="18" fillId="7" borderId="18" xfId="0" applyNumberFormat="1" applyFont="1" applyFill="1" applyBorder="1" applyAlignment="1">
      <alignment horizontal="center" wrapText="1"/>
    </xf>
    <xf numFmtId="0" fontId="18" fillId="7" borderId="18" xfId="0" applyFont="1" applyFill="1" applyBorder="1" applyAlignment="1">
      <alignment horizontal="center" wrapText="1"/>
    </xf>
    <xf numFmtId="9" fontId="18" fillId="7" borderId="18" xfId="0" applyNumberFormat="1" applyFont="1" applyFill="1" applyBorder="1" applyAlignment="1">
      <alignment horizontal="center" wrapText="1"/>
    </xf>
    <xf numFmtId="0" fontId="28" fillId="3" borderId="0" xfId="0" applyFont="1" applyFill="1" applyAlignment="1">
      <alignment wrapText="1"/>
    </xf>
    <xf numFmtId="0" fontId="11" fillId="0" borderId="0" xfId="0" applyFont="1"/>
    <xf numFmtId="0" fontId="3" fillId="4" borderId="0" xfId="0" applyFont="1" applyFill="1"/>
    <xf numFmtId="0" fontId="17" fillId="4" borderId="0" xfId="0" applyFont="1" applyFill="1"/>
    <xf numFmtId="0" fontId="7" fillId="5" borderId="0" xfId="0" applyFont="1" applyFill="1" applyAlignment="1">
      <alignment horizontal="center"/>
    </xf>
    <xf numFmtId="166" fontId="0" fillId="4" borderId="0" xfId="0" applyNumberFormat="1" applyFill="1" applyAlignment="1">
      <alignment horizontal="right"/>
    </xf>
    <xf numFmtId="166" fontId="0" fillId="2" borderId="0" xfId="0" applyNumberFormat="1" applyFill="1" applyAlignment="1">
      <alignment horizontal="right"/>
    </xf>
    <xf numFmtId="0" fontId="7" fillId="9" borderId="0" xfId="0" applyFont="1" applyFill="1" applyAlignment="1">
      <alignment horizontal="center"/>
    </xf>
    <xf numFmtId="166" fontId="3" fillId="9" borderId="0" xfId="0" applyNumberFormat="1" applyFont="1" applyFill="1" applyAlignment="1">
      <alignment horizontal="right"/>
    </xf>
    <xf numFmtId="0" fontId="24" fillId="0" borderId="0" xfId="0" applyFont="1"/>
    <xf numFmtId="166" fontId="0" fillId="0" borderId="0" xfId="0" applyNumberFormat="1" applyAlignment="1">
      <alignment horizontal="right"/>
    </xf>
    <xf numFmtId="0" fontId="10" fillId="5" borderId="0" xfId="0" applyFont="1" applyFill="1" applyAlignment="1">
      <alignment horizontal="center"/>
    </xf>
    <xf numFmtId="0" fontId="19" fillId="0" borderId="23" xfId="0" applyFont="1" applyBorder="1"/>
    <xf numFmtId="3" fontId="19" fillId="0" borderId="20" xfId="0" applyNumberFormat="1" applyFont="1" applyBorder="1" applyAlignment="1">
      <alignment horizontal="center"/>
    </xf>
    <xf numFmtId="169" fontId="19" fillId="0" borderId="20" xfId="0" applyNumberFormat="1" applyFont="1" applyBorder="1" applyAlignment="1">
      <alignment horizontal="center"/>
    </xf>
    <xf numFmtId="166" fontId="19" fillId="0" borderId="40" xfId="0" applyNumberFormat="1" applyFont="1" applyBorder="1" applyAlignment="1">
      <alignment horizontal="center"/>
    </xf>
    <xf numFmtId="0" fontId="0" fillId="5" borderId="0" xfId="0" applyFill="1"/>
    <xf numFmtId="0" fontId="0" fillId="0" borderId="8" xfId="0" applyBorder="1"/>
    <xf numFmtId="0" fontId="0" fillId="0" borderId="11" xfId="0" applyBorder="1"/>
    <xf numFmtId="0" fontId="0" fillId="0" borderId="3" xfId="0" applyBorder="1"/>
    <xf numFmtId="0" fontId="7" fillId="5" borderId="1" xfId="0" applyFont="1" applyFill="1" applyBorder="1" applyAlignment="1">
      <alignment horizontal="center"/>
    </xf>
    <xf numFmtId="0" fontId="7" fillId="6" borderId="0" xfId="0" applyFont="1" applyFill="1"/>
    <xf numFmtId="0" fontId="7" fillId="6" borderId="6" xfId="0" applyFont="1" applyFill="1" applyBorder="1" applyAlignment="1">
      <alignment horizontal="center"/>
    </xf>
    <xf numFmtId="166" fontId="0" fillId="0" borderId="10" xfId="0" applyNumberFormat="1" applyBorder="1"/>
    <xf numFmtId="0" fontId="8" fillId="5" borderId="0" xfId="0" applyFont="1" applyFill="1"/>
    <xf numFmtId="0" fontId="0" fillId="17" borderId="1" xfId="0" applyFill="1" applyBorder="1" applyAlignment="1">
      <alignment horizontal="center"/>
    </xf>
    <xf numFmtId="172" fontId="0" fillId="17" borderId="1" xfId="0" applyNumberFormat="1" applyFill="1" applyBorder="1" applyAlignment="1">
      <alignment horizontal="center"/>
    </xf>
    <xf numFmtId="168" fontId="0" fillId="17" borderId="1" xfId="0" applyNumberFormat="1" applyFill="1" applyBorder="1" applyAlignment="1">
      <alignment horizontal="center"/>
    </xf>
    <xf numFmtId="166" fontId="0" fillId="17" borderId="1" xfId="0" applyNumberFormat="1" applyFill="1" applyBorder="1" applyAlignment="1">
      <alignment horizontal="center"/>
    </xf>
    <xf numFmtId="3" fontId="0" fillId="17" borderId="1" xfId="0" applyNumberFormat="1" applyFill="1" applyBorder="1" applyAlignment="1">
      <alignment horizontal="center"/>
    </xf>
    <xf numFmtId="173" fontId="0" fillId="17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72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73" fontId="0" fillId="2" borderId="1" xfId="0" applyNumberForma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172" fontId="0" fillId="18" borderId="1" xfId="0" applyNumberFormat="1" applyFill="1" applyBorder="1" applyAlignment="1">
      <alignment horizontal="center"/>
    </xf>
    <xf numFmtId="168" fontId="0" fillId="18" borderId="1" xfId="0" applyNumberFormat="1" applyFill="1" applyBorder="1" applyAlignment="1">
      <alignment horizontal="center"/>
    </xf>
    <xf numFmtId="166" fontId="0" fillId="18" borderId="1" xfId="0" applyNumberFormat="1" applyFill="1" applyBorder="1" applyAlignment="1">
      <alignment horizontal="center"/>
    </xf>
    <xf numFmtId="3" fontId="0" fillId="18" borderId="1" xfId="0" applyNumberFormat="1" applyFill="1" applyBorder="1" applyAlignment="1">
      <alignment horizontal="center"/>
    </xf>
    <xf numFmtId="173" fontId="0" fillId="1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  <xf numFmtId="168" fontId="0" fillId="9" borderId="1" xfId="0" applyNumberForma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166" fontId="11" fillId="8" borderId="1" xfId="0" applyNumberFormat="1" applyFont="1" applyFill="1" applyBorder="1" applyAlignment="1">
      <alignment horizontal="center"/>
    </xf>
    <xf numFmtId="168" fontId="11" fillId="8" borderId="1" xfId="0" applyNumberFormat="1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166" fontId="0" fillId="19" borderId="1" xfId="0" applyNumberFormat="1" applyFill="1" applyBorder="1" applyAlignment="1">
      <alignment horizontal="center"/>
    </xf>
    <xf numFmtId="168" fontId="0" fillId="19" borderId="1" xfId="0" applyNumberFormat="1" applyFill="1" applyBorder="1" applyAlignment="1">
      <alignment horizontal="center"/>
    </xf>
    <xf numFmtId="0" fontId="0" fillId="6" borderId="9" xfId="0" applyFill="1" applyBorder="1"/>
    <xf numFmtId="166" fontId="11" fillId="8" borderId="10" xfId="0" applyNumberFormat="1" applyFont="1" applyFill="1" applyBorder="1"/>
    <xf numFmtId="173" fontId="0" fillId="0" borderId="10" xfId="0" applyNumberFormat="1" applyBorder="1"/>
    <xf numFmtId="166" fontId="11" fillId="8" borderId="11" xfId="0" applyNumberFormat="1" applyFont="1" applyFill="1" applyBorder="1"/>
    <xf numFmtId="0" fontId="7" fillId="6" borderId="4" xfId="0" applyFont="1" applyFill="1" applyBorder="1"/>
    <xf numFmtId="0" fontId="7" fillId="6" borderId="6" xfId="0" applyFont="1" applyFill="1" applyBorder="1"/>
    <xf numFmtId="3" fontId="0" fillId="0" borderId="10" xfId="0" applyNumberFormat="1" applyBorder="1"/>
    <xf numFmtId="169" fontId="0" fillId="0" borderId="11" xfId="0" applyNumberFormat="1" applyBorder="1"/>
    <xf numFmtId="166" fontId="0" fillId="0" borderId="11" xfId="0" applyNumberFormat="1" applyBorder="1"/>
    <xf numFmtId="3" fontId="0" fillId="9" borderId="1" xfId="0" applyNumberFormat="1" applyFill="1" applyBorder="1" applyAlignment="1">
      <alignment horizontal="center"/>
    </xf>
    <xf numFmtId="0" fontId="7" fillId="8" borderId="10" xfId="0" applyFont="1" applyFill="1" applyBorder="1"/>
    <xf numFmtId="0" fontId="17" fillId="9" borderId="6" xfId="0" applyFont="1" applyFill="1" applyBorder="1"/>
    <xf numFmtId="0" fontId="30" fillId="0" borderId="7" xfId="0" applyFont="1" applyBorder="1"/>
    <xf numFmtId="0" fontId="30" fillId="0" borderId="8" xfId="0" applyFont="1" applyBorder="1"/>
    <xf numFmtId="0" fontId="0" fillId="9" borderId="9" xfId="0" applyFill="1" applyBorder="1"/>
    <xf numFmtId="0" fontId="7" fillId="8" borderId="6" xfId="0" applyFont="1" applyFill="1" applyBorder="1"/>
    <xf numFmtId="0" fontId="0" fillId="8" borderId="9" xfId="0" applyFill="1" applyBorder="1"/>
    <xf numFmtId="0" fontId="8" fillId="8" borderId="3" xfId="0" applyFont="1" applyFill="1" applyBorder="1"/>
    <xf numFmtId="0" fontId="8" fillId="6" borderId="3" xfId="0" applyFont="1" applyFill="1" applyBorder="1"/>
    <xf numFmtId="166" fontId="8" fillId="6" borderId="3" xfId="0" applyNumberFormat="1" applyFont="1" applyFill="1" applyBorder="1"/>
    <xf numFmtId="0" fontId="24" fillId="9" borderId="3" xfId="0" applyFont="1" applyFill="1" applyBorder="1"/>
    <xf numFmtId="0" fontId="8" fillId="8" borderId="5" xfId="0" applyFont="1" applyFill="1" applyBorder="1"/>
    <xf numFmtId="166" fontId="24" fillId="9" borderId="12" xfId="0" applyNumberFormat="1" applyFont="1" applyFill="1" applyBorder="1"/>
    <xf numFmtId="0" fontId="31" fillId="0" borderId="0" xfId="0" applyFont="1"/>
    <xf numFmtId="0" fontId="7" fillId="6" borderId="6" xfId="0" applyFont="1" applyFill="1" applyBorder="1" applyAlignment="1">
      <alignment horizontal="left"/>
    </xf>
    <xf numFmtId="0" fontId="32" fillId="20" borderId="0" xfId="0" applyFont="1" applyFill="1"/>
    <xf numFmtId="3" fontId="6" fillId="20" borderId="0" xfId="0" applyNumberFormat="1" applyFont="1" applyFill="1" applyAlignment="1">
      <alignment horizontal="center"/>
    </xf>
    <xf numFmtId="172" fontId="0" fillId="2" borderId="0" xfId="0" applyNumberFormat="1" applyFill="1"/>
    <xf numFmtId="168" fontId="0" fillId="2" borderId="0" xfId="0" applyNumberFormat="1" applyFill="1"/>
    <xf numFmtId="172" fontId="0" fillId="20" borderId="0" xfId="0" applyNumberFormat="1" applyFill="1"/>
    <xf numFmtId="168" fontId="0" fillId="20" borderId="0" xfId="0" applyNumberFormat="1" applyFill="1"/>
    <xf numFmtId="166" fontId="0" fillId="20" borderId="0" xfId="0" applyNumberFormat="1" applyFill="1"/>
    <xf numFmtId="172" fontId="0" fillId="20" borderId="2" xfId="0" applyNumberFormat="1" applyFill="1" applyBorder="1"/>
    <xf numFmtId="168" fontId="0" fillId="20" borderId="2" xfId="0" applyNumberFormat="1" applyFill="1" applyBorder="1"/>
    <xf numFmtId="166" fontId="0" fillId="20" borderId="2" xfId="0" applyNumberFormat="1" applyFill="1" applyBorder="1"/>
    <xf numFmtId="0" fontId="0" fillId="20" borderId="7" xfId="0" applyFill="1" applyBorder="1"/>
    <xf numFmtId="0" fontId="0" fillId="20" borderId="8" xfId="0" applyFill="1" applyBorder="1"/>
    <xf numFmtId="0" fontId="7" fillId="6" borderId="9" xfId="0" applyFont="1" applyFill="1" applyBorder="1"/>
    <xf numFmtId="166" fontId="0" fillId="20" borderId="10" xfId="0" applyNumberFormat="1" applyFill="1" applyBorder="1"/>
    <xf numFmtId="166" fontId="0" fillId="20" borderId="11" xfId="0" applyNumberFormat="1" applyFill="1" applyBorder="1"/>
    <xf numFmtId="171" fontId="0" fillId="2" borderId="0" xfId="0" applyNumberFormat="1" applyFill="1"/>
    <xf numFmtId="171" fontId="0" fillId="20" borderId="0" xfId="0" applyNumberFormat="1" applyFill="1"/>
    <xf numFmtId="171" fontId="0" fillId="20" borderId="2" xfId="0" applyNumberFormat="1" applyFill="1" applyBorder="1"/>
    <xf numFmtId="3" fontId="0" fillId="2" borderId="7" xfId="0" applyNumberFormat="1" applyFill="1" applyBorder="1"/>
    <xf numFmtId="0" fontId="0" fillId="20" borderId="0" xfId="0" applyFill="1" applyAlignment="1">
      <alignment horizontal="center"/>
    </xf>
    <xf numFmtId="0" fontId="0" fillId="20" borderId="2" xfId="0" applyFill="1" applyBorder="1" applyAlignment="1">
      <alignment horizontal="center"/>
    </xf>
    <xf numFmtId="3" fontId="0" fillId="20" borderId="7" xfId="0" applyNumberFormat="1" applyFill="1" applyBorder="1"/>
    <xf numFmtId="3" fontId="0" fillId="20" borderId="8" xfId="0" applyNumberFormat="1" applyFill="1" applyBorder="1"/>
    <xf numFmtId="169" fontId="0" fillId="20" borderId="10" xfId="0" applyNumberFormat="1" applyFill="1" applyBorder="1"/>
    <xf numFmtId="169" fontId="0" fillId="20" borderId="11" xfId="0" applyNumberFormat="1" applyFill="1" applyBorder="1"/>
    <xf numFmtId="0" fontId="0" fillId="21" borderId="0" xfId="0" applyFill="1"/>
    <xf numFmtId="0" fontId="0" fillId="21" borderId="7" xfId="0" applyFill="1" applyBorder="1"/>
    <xf numFmtId="0" fontId="0" fillId="21" borderId="10" xfId="0" applyFill="1" applyBorder="1"/>
    <xf numFmtId="166" fontId="11" fillId="0" borderId="0" xfId="0" applyNumberFormat="1" applyFont="1"/>
    <xf numFmtId="0" fontId="11" fillId="2" borderId="0" xfId="0" applyFont="1" applyFill="1"/>
    <xf numFmtId="166" fontId="11" fillId="2" borderId="0" xfId="0" applyNumberFormat="1" applyFont="1" applyFill="1"/>
    <xf numFmtId="0" fontId="7" fillId="6" borderId="1" xfId="0" applyFont="1" applyFill="1" applyBorder="1"/>
    <xf numFmtId="166" fontId="33" fillId="2" borderId="1" xfId="0" applyNumberFormat="1" applyFont="1" applyFill="1" applyBorder="1"/>
    <xf numFmtId="16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6" fontId="0" fillId="20" borderId="1" xfId="0" applyNumberFormat="1" applyFill="1" applyBorder="1"/>
    <xf numFmtId="166" fontId="33" fillId="20" borderId="1" xfId="0" applyNumberFormat="1" applyFont="1" applyFill="1" applyBorder="1"/>
    <xf numFmtId="169" fontId="3" fillId="20" borderId="1" xfId="0" applyNumberFormat="1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170" fontId="0" fillId="2" borderId="1" xfId="0" applyNumberFormat="1" applyFill="1" applyBorder="1"/>
    <xf numFmtId="170" fontId="33" fillId="2" borderId="1" xfId="0" applyNumberFormat="1" applyFont="1" applyFill="1" applyBorder="1"/>
    <xf numFmtId="3" fontId="0" fillId="20" borderId="1" xfId="0" applyNumberFormat="1" applyFill="1" applyBorder="1"/>
    <xf numFmtId="169" fontId="0" fillId="2" borderId="1" xfId="0" applyNumberFormat="1" applyFill="1" applyBorder="1"/>
    <xf numFmtId="9" fontId="0" fillId="2" borderId="1" xfId="0" applyNumberFormat="1" applyFill="1" applyBorder="1"/>
    <xf numFmtId="166" fontId="33" fillId="12" borderId="1" xfId="0" applyNumberFormat="1" applyFont="1" applyFill="1" applyBorder="1"/>
    <xf numFmtId="170" fontId="33" fillId="12" borderId="1" xfId="0" applyNumberFormat="1" applyFont="1" applyFill="1" applyBorder="1"/>
    <xf numFmtId="0" fontId="0" fillId="0" borderId="44" xfId="0" applyBorder="1"/>
    <xf numFmtId="0" fontId="0" fillId="0" borderId="47" xfId="0" applyBorder="1"/>
    <xf numFmtId="0" fontId="36" fillId="0" borderId="0" xfId="0" applyFont="1"/>
    <xf numFmtId="0" fontId="16" fillId="17" borderId="49" xfId="0" applyFont="1" applyFill="1" applyBorder="1" applyAlignment="1">
      <alignment horizontal="center"/>
    </xf>
    <xf numFmtId="0" fontId="16" fillId="17" borderId="0" xfId="0" applyFont="1" applyFill="1" applyAlignment="1">
      <alignment horizontal="center"/>
    </xf>
    <xf numFmtId="164" fontId="16" fillId="17" borderId="0" xfId="0" applyNumberFormat="1" applyFont="1" applyFill="1" applyAlignment="1">
      <alignment horizontal="center"/>
    </xf>
    <xf numFmtId="3" fontId="7" fillId="10" borderId="1" xfId="0" applyNumberFormat="1" applyFont="1" applyFill="1" applyBorder="1"/>
    <xf numFmtId="166" fontId="5" fillId="25" borderId="0" xfId="0" applyNumberFormat="1" applyFont="1" applyFill="1"/>
    <xf numFmtId="0" fontId="5" fillId="25" borderId="0" xfId="0" applyFont="1" applyFill="1"/>
    <xf numFmtId="166" fontId="5" fillId="0" borderId="0" xfId="0" applyNumberFormat="1" applyFont="1"/>
    <xf numFmtId="166" fontId="37" fillId="23" borderId="52" xfId="0" applyNumberFormat="1" applyFont="1" applyFill="1" applyBorder="1" applyAlignment="1">
      <alignment horizontal="center"/>
    </xf>
    <xf numFmtId="166" fontId="41" fillId="23" borderId="52" xfId="0" applyNumberFormat="1" applyFont="1" applyFill="1" applyBorder="1" applyAlignment="1">
      <alignment horizontal="left"/>
    </xf>
    <xf numFmtId="166" fontId="38" fillId="19" borderId="52" xfId="0" applyNumberFormat="1" applyFont="1" applyFill="1" applyBorder="1" applyAlignment="1">
      <alignment horizontal="center"/>
    </xf>
    <xf numFmtId="166" fontId="42" fillId="19" borderId="52" xfId="0" applyNumberFormat="1" applyFont="1" applyFill="1" applyBorder="1" applyAlignment="1">
      <alignment horizontal="left"/>
    </xf>
    <xf numFmtId="166" fontId="14" fillId="9" borderId="52" xfId="0" applyNumberFormat="1" applyFont="1" applyFill="1" applyBorder="1" applyAlignment="1">
      <alignment horizontal="center"/>
    </xf>
    <xf numFmtId="169" fontId="14" fillId="10" borderId="52" xfId="0" applyNumberFormat="1" applyFont="1" applyFill="1" applyBorder="1" applyAlignment="1">
      <alignment horizontal="center"/>
    </xf>
    <xf numFmtId="0" fontId="14" fillId="8" borderId="53" xfId="0" applyFont="1" applyFill="1" applyBorder="1" applyAlignment="1">
      <alignment horizontal="center"/>
    </xf>
    <xf numFmtId="164" fontId="12" fillId="0" borderId="0" xfId="0" applyNumberFormat="1" applyFont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left"/>
    </xf>
    <xf numFmtId="0" fontId="0" fillId="21" borderId="2" xfId="0" applyFill="1" applyBorder="1" applyAlignment="1">
      <alignment horizontal="left"/>
    </xf>
    <xf numFmtId="0" fontId="0" fillId="21" borderId="11" xfId="0" applyFill="1" applyBorder="1" applyAlignment="1">
      <alignment horizontal="left"/>
    </xf>
    <xf numFmtId="3" fontId="0" fillId="21" borderId="0" xfId="0" applyNumberFormat="1" applyFill="1" applyAlignment="1">
      <alignment horizontal="center"/>
    </xf>
    <xf numFmtId="166" fontId="33" fillId="21" borderId="0" xfId="0" applyNumberFormat="1" applyFont="1" applyFill="1" applyAlignment="1">
      <alignment horizontal="center"/>
    </xf>
    <xf numFmtId="169" fontId="33" fillId="21" borderId="0" xfId="0" applyNumberFormat="1" applyFont="1" applyFill="1" applyAlignment="1">
      <alignment horizontal="center"/>
    </xf>
    <xf numFmtId="0" fontId="0" fillId="21" borderId="2" xfId="0" applyFill="1" applyBorder="1" applyAlignment="1">
      <alignment horizontal="center"/>
    </xf>
    <xf numFmtId="0" fontId="17" fillId="21" borderId="7" xfId="0" applyFont="1" applyFill="1" applyBorder="1" applyAlignment="1">
      <alignment horizontal="right"/>
    </xf>
    <xf numFmtId="0" fontId="17" fillId="21" borderId="8" xfId="0" applyFont="1" applyFill="1" applyBorder="1" applyAlignment="1">
      <alignment horizontal="right"/>
    </xf>
    <xf numFmtId="0" fontId="17" fillId="21" borderId="0" xfId="0" applyFont="1" applyFill="1" applyAlignment="1">
      <alignment horizontal="right"/>
    </xf>
    <xf numFmtId="0" fontId="17" fillId="21" borderId="2" xfId="0" applyFont="1" applyFill="1" applyBorder="1" applyAlignment="1">
      <alignment horizontal="right"/>
    </xf>
    <xf numFmtId="3" fontId="0" fillId="0" borderId="7" xfId="0" applyNumberFormat="1" applyBorder="1"/>
    <xf numFmtId="0" fontId="0" fillId="0" borderId="0" xfId="0" applyAlignment="1">
      <alignment horizontal="center"/>
    </xf>
    <xf numFmtId="169" fontId="0" fillId="0" borderId="10" xfId="0" applyNumberFormat="1" applyBorder="1"/>
    <xf numFmtId="168" fontId="0" fillId="0" borderId="0" xfId="0" applyNumberFormat="1"/>
    <xf numFmtId="171" fontId="0" fillId="0" borderId="0" xfId="0" applyNumberFormat="1"/>
    <xf numFmtId="0" fontId="8" fillId="5" borderId="45" xfId="0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center" vertical="center"/>
    </xf>
    <xf numFmtId="0" fontId="8" fillId="5" borderId="48" xfId="0" applyFont="1" applyFill="1" applyBorder="1" applyAlignment="1">
      <alignment horizontal="center" vertical="center"/>
    </xf>
    <xf numFmtId="0" fontId="35" fillId="22" borderId="46" xfId="0" applyFont="1" applyFill="1" applyBorder="1" applyAlignment="1">
      <alignment horizontal="center"/>
    </xf>
    <xf numFmtId="0" fontId="35" fillId="22" borderId="0" xfId="0" applyFont="1" applyFill="1" applyAlignment="1">
      <alignment horizontal="center"/>
    </xf>
    <xf numFmtId="0" fontId="35" fillId="22" borderId="49" xfId="0" applyFont="1" applyFill="1" applyBorder="1" applyAlignment="1">
      <alignment horizontal="center"/>
    </xf>
    <xf numFmtId="0" fontId="7" fillId="5" borderId="46" xfId="0" applyFont="1" applyFill="1" applyBorder="1" applyAlignment="1">
      <alignment horizontal="center"/>
    </xf>
    <xf numFmtId="0" fontId="17" fillId="0" borderId="0" xfId="0" applyFont="1"/>
    <xf numFmtId="0" fontId="7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0" fillId="6" borderId="0" xfId="0" applyFill="1"/>
    <xf numFmtId="0" fontId="0" fillId="6" borderId="49" xfId="0" applyFill="1" applyBorder="1"/>
    <xf numFmtId="0" fontId="40" fillId="24" borderId="50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0" fontId="40" fillId="24" borderId="51" xfId="0" applyFont="1" applyFill="1" applyBorder="1" applyAlignment="1">
      <alignment horizontal="center"/>
    </xf>
    <xf numFmtId="0" fontId="8" fillId="8" borderId="6" xfId="0" applyFont="1" applyFill="1" applyBorder="1"/>
    <xf numFmtId="0" fontId="0" fillId="0" borderId="4" xfId="0" applyBorder="1"/>
    <xf numFmtId="0" fontId="0" fillId="0" borderId="9" xfId="0" applyBorder="1"/>
    <xf numFmtId="0" fontId="10" fillId="5" borderId="7" xfId="0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29" fillId="5" borderId="0" xfId="0" applyFont="1" applyFill="1" applyAlignment="1">
      <alignment horizontal="center"/>
    </xf>
    <xf numFmtId="0" fontId="39" fillId="5" borderId="0" xfId="0" applyFont="1" applyFill="1"/>
    <xf numFmtId="0" fontId="34" fillId="5" borderId="0" xfId="0" applyFont="1" applyFill="1" applyAlignment="1">
      <alignment horizontal="center"/>
    </xf>
    <xf numFmtId="0" fontId="5" fillId="5" borderId="0" xfId="0" applyFont="1" applyFill="1"/>
    <xf numFmtId="0" fontId="7" fillId="5" borderId="0" xfId="0" applyFont="1" applyFill="1"/>
    <xf numFmtId="0" fontId="0" fillId="0" borderId="0" xfId="0"/>
    <xf numFmtId="0" fontId="24" fillId="9" borderId="0" xfId="0" applyFont="1" applyFill="1"/>
    <xf numFmtId="0" fontId="10" fillId="5" borderId="24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8" fillId="5" borderId="29" xfId="0" applyFont="1" applyFill="1" applyBorder="1" applyAlignment="1">
      <alignment horizontal="center"/>
    </xf>
    <xf numFmtId="0" fontId="8" fillId="5" borderId="27" xfId="0" applyFont="1" applyFill="1" applyBorder="1" applyAlignment="1">
      <alignment horizontal="center"/>
    </xf>
    <xf numFmtId="0" fontId="8" fillId="5" borderId="33" xfId="0" applyFont="1" applyFill="1" applyBorder="1" applyAlignment="1">
      <alignment horizontal="center"/>
    </xf>
    <xf numFmtId="0" fontId="10" fillId="5" borderId="41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5" borderId="42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169" fontId="0" fillId="4" borderId="26" xfId="0" applyNumberFormat="1" applyFill="1" applyBorder="1" applyAlignment="1">
      <alignment horizontal="center"/>
    </xf>
    <xf numFmtId="9" fontId="17" fillId="9" borderId="0" xfId="0" applyNumberFormat="1" applyFont="1" applyFill="1" applyAlignment="1">
      <alignment horizontal="center"/>
    </xf>
    <xf numFmtId="169" fontId="0" fillId="2" borderId="26" xfId="0" applyNumberForma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4">
    <dxf>
      <fill>
        <patternFill patternType="solid">
          <fgColor indexed="64"/>
          <bgColor rgb="FFEBF8FF"/>
        </patternFill>
      </fill>
    </dxf>
    <dxf>
      <font>
        <b/>
        <i val="0"/>
        <color rgb="FF2B6CB0"/>
      </font>
      <fill>
        <patternFill patternType="solid">
          <fgColor indexed="64"/>
          <bgColor rgb="FFBEE3F8"/>
        </patternFill>
      </fill>
    </dxf>
    <dxf>
      <fill>
        <patternFill patternType="solid">
          <fgColor indexed="64"/>
          <bgColor rgb="FFEBF8FF"/>
        </patternFill>
      </fill>
    </dxf>
    <dxf>
      <font>
        <b/>
        <i val="0"/>
        <color rgb="FF2B6CB0"/>
      </font>
      <fill>
        <patternFill patternType="solid">
          <fgColor indexed="64"/>
          <bgColor rgb="FFBEE3F8"/>
        </patternFill>
      </fill>
    </dxf>
  </dxfs>
  <tableStyles count="0" defaultTableStyle="TableStyleMedium9" defaultPivotStyle="PivotStyleLight16"/>
  <colors>
    <mruColors>
      <color rgb="FF0B36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B3677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Cost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B367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A0C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A4-4E65-8000-025F4EFE4C7E}"/>
              </c:ext>
            </c:extLst>
          </c:dPt>
          <c:dPt>
            <c:idx val="1"/>
            <c:bubble3D val="0"/>
            <c:spPr>
              <a:solidFill>
                <a:srgbClr val="FAB81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8A4-4E65-8000-025F4EFE4C7E}"/>
              </c:ext>
            </c:extLst>
          </c:dPt>
          <c:dPt>
            <c:idx val="2"/>
            <c:bubble3D val="0"/>
            <c:spPr>
              <a:solidFill>
                <a:srgbClr val="A11B7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A4-4E65-8000-025F4EFE4C7E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B3677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Pricing_Calculator!$C$11:$C$13</c:f>
              <c:strCache>
                <c:ptCount val="3"/>
                <c:pt idx="0">
                  <c:v>Input Tokens</c:v>
                </c:pt>
                <c:pt idx="1">
                  <c:v>Output Tokens</c:v>
                </c:pt>
                <c:pt idx="2">
                  <c:v>Infrastructure</c:v>
                </c:pt>
              </c:strCache>
            </c:strRef>
          </c:cat>
          <c:val>
            <c:numRef>
              <c:f>Pricing_Calculator!$E$11:$E$13</c:f>
              <c:numCache>
                <c:formatCode>0.0%</c:formatCode>
                <c:ptCount val="3"/>
                <c:pt idx="0">
                  <c:v>0.40611959092737238</c:v>
                </c:pt>
                <c:pt idx="1">
                  <c:v>0.36311117830339695</c:v>
                </c:pt>
                <c:pt idx="2">
                  <c:v>0.23076923076923075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4-4E65-8000-025F4EFE4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B3677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Cumulative Cost Projection by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B367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Pricing_Calculator!$C$44</c:f>
              <c:strCache>
                <c:ptCount val="1"/>
                <c:pt idx="0">
                  <c:v>Claude Haiku 4.5</c:v>
                </c:pt>
              </c:strCache>
            </c:strRef>
          </c:tx>
          <c:spPr>
            <a:ln w="28575" cap="rnd">
              <a:solidFill>
                <a:srgbClr val="00A0C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Pricing_Calculator!$D$43:$O$43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Pricing_Calculator!$D$44:$O$44</c:f>
              <c:numCache>
                <c:formatCode>"$"#,##0</c:formatCode>
                <c:ptCount val="12"/>
                <c:pt idx="0">
                  <c:v>1557.7184999999999</c:v>
                </c:pt>
                <c:pt idx="1">
                  <c:v>3115.4369999999999</c:v>
                </c:pt>
                <c:pt idx="2">
                  <c:v>4673.1554999999998</c:v>
                </c:pt>
                <c:pt idx="3">
                  <c:v>6230.8739999999998</c:v>
                </c:pt>
                <c:pt idx="4">
                  <c:v>7788.5924999999997</c:v>
                </c:pt>
                <c:pt idx="5">
                  <c:v>9346.3109999999997</c:v>
                </c:pt>
                <c:pt idx="6">
                  <c:v>10904.029500000001</c:v>
                </c:pt>
                <c:pt idx="7">
                  <c:v>12461.748</c:v>
                </c:pt>
                <c:pt idx="8">
                  <c:v>14019.466499999999</c:v>
                </c:pt>
                <c:pt idx="9">
                  <c:v>15577.184999999999</c:v>
                </c:pt>
                <c:pt idx="10">
                  <c:v>17134.9035</c:v>
                </c:pt>
                <c:pt idx="11">
                  <c:v>18692.621999999999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C8-4994-BB80-00C722D6B72D}"/>
            </c:ext>
          </c:extLst>
        </c:ser>
        <c:ser>
          <c:idx val="1"/>
          <c:order val="1"/>
          <c:tx>
            <c:strRef>
              <c:f>Pricing_Calculator!$C$45</c:f>
              <c:strCache>
                <c:ptCount val="1"/>
                <c:pt idx="0">
                  <c:v>Claude Sonnet 4.6</c:v>
                </c:pt>
              </c:strCache>
            </c:strRef>
          </c:tx>
          <c:spPr>
            <a:ln w="28575" cap="rnd">
              <a:solidFill>
                <a:srgbClr val="0B3677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Pricing_Calculator!$D$43:$O$43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Pricing_Calculator!$D$45:$O$45</c:f>
              <c:numCache>
                <c:formatCode>"$"#,##0</c:formatCode>
                <c:ptCount val="12"/>
                <c:pt idx="0">
                  <c:v>4673.1555000000008</c:v>
                </c:pt>
                <c:pt idx="1">
                  <c:v>9346.3110000000015</c:v>
                </c:pt>
                <c:pt idx="2">
                  <c:v>14019.466500000002</c:v>
                </c:pt>
                <c:pt idx="3">
                  <c:v>18692.622000000003</c:v>
                </c:pt>
                <c:pt idx="4">
                  <c:v>23365.777500000004</c:v>
                </c:pt>
                <c:pt idx="5">
                  <c:v>28038.933000000005</c:v>
                </c:pt>
                <c:pt idx="6">
                  <c:v>32712.088500000005</c:v>
                </c:pt>
                <c:pt idx="7">
                  <c:v>37385.244000000006</c:v>
                </c:pt>
                <c:pt idx="8">
                  <c:v>42058.399500000007</c:v>
                </c:pt>
                <c:pt idx="9">
                  <c:v>46731.555000000008</c:v>
                </c:pt>
                <c:pt idx="10">
                  <c:v>51404.710500000008</c:v>
                </c:pt>
                <c:pt idx="11">
                  <c:v>56077.866000000009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C8-4994-BB80-00C722D6B72D}"/>
            </c:ext>
          </c:extLst>
        </c:ser>
        <c:ser>
          <c:idx val="2"/>
          <c:order val="2"/>
          <c:tx>
            <c:strRef>
              <c:f>Pricing_Calculator!$C$46</c:f>
              <c:strCache>
                <c:ptCount val="1"/>
                <c:pt idx="0">
                  <c:v>Claude Opus 4.7</c:v>
                </c:pt>
              </c:strCache>
            </c:strRef>
          </c:tx>
          <c:spPr>
            <a:ln w="28575" cap="rnd">
              <a:solidFill>
                <a:srgbClr val="A11B7E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Pricing_Calculator!$D$43:$O$43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Pricing_Calculator!$D$46:$O$46</c:f>
              <c:numCache>
                <c:formatCode>"$"#,##0</c:formatCode>
                <c:ptCount val="12"/>
                <c:pt idx="0">
                  <c:v>7788.5925000000007</c:v>
                </c:pt>
                <c:pt idx="1">
                  <c:v>15577.185000000001</c:v>
                </c:pt>
                <c:pt idx="2">
                  <c:v>23365.777500000004</c:v>
                </c:pt>
                <c:pt idx="3">
                  <c:v>31154.370000000003</c:v>
                </c:pt>
                <c:pt idx="4">
                  <c:v>38942.962500000001</c:v>
                </c:pt>
                <c:pt idx="5">
                  <c:v>46731.555000000008</c:v>
                </c:pt>
                <c:pt idx="6">
                  <c:v>54520.147500000006</c:v>
                </c:pt>
                <c:pt idx="7">
                  <c:v>62308.740000000005</c:v>
                </c:pt>
                <c:pt idx="8">
                  <c:v>70097.332500000004</c:v>
                </c:pt>
                <c:pt idx="9">
                  <c:v>77885.925000000003</c:v>
                </c:pt>
                <c:pt idx="10">
                  <c:v>85674.517500000002</c:v>
                </c:pt>
                <c:pt idx="11">
                  <c:v>93463.110000000015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C8-4994-BB80-00C722D6B72D}"/>
            </c:ext>
          </c:extLst>
        </c:ser>
        <c:ser>
          <c:idx val="3"/>
          <c:order val="3"/>
          <c:tx>
            <c:strRef>
              <c:f>Pricing_Calculator!$C$47</c:f>
              <c:strCache>
                <c:ptCount val="1"/>
                <c:pt idx="0">
                  <c:v>Nova Micro</c:v>
                </c:pt>
              </c:strCache>
            </c:strRef>
          </c:tx>
          <c:spPr>
            <a:ln w="28575" cap="rnd">
              <a:solidFill>
                <a:srgbClr val="00CC66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Pricing_Calculator!$D$43:$O$43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Pricing_Calculator!$D$47:$O$47</c:f>
              <c:numCache>
                <c:formatCode>"$"#,##0</c:formatCode>
                <c:ptCount val="12"/>
                <c:pt idx="0">
                  <c:v>49.372960000000006</c:v>
                </c:pt>
                <c:pt idx="1">
                  <c:v>98.745920000000012</c:v>
                </c:pt>
                <c:pt idx="2">
                  <c:v>148.11888000000002</c:v>
                </c:pt>
                <c:pt idx="3">
                  <c:v>197.49184000000002</c:v>
                </c:pt>
                <c:pt idx="4">
                  <c:v>246.86480000000003</c:v>
                </c:pt>
                <c:pt idx="5">
                  <c:v>296.23776000000004</c:v>
                </c:pt>
                <c:pt idx="6">
                  <c:v>345.61072000000001</c:v>
                </c:pt>
                <c:pt idx="7">
                  <c:v>394.98368000000005</c:v>
                </c:pt>
                <c:pt idx="8">
                  <c:v>444.35664000000008</c:v>
                </c:pt>
                <c:pt idx="9">
                  <c:v>493.72960000000006</c:v>
                </c:pt>
                <c:pt idx="10">
                  <c:v>543.10256000000004</c:v>
                </c:pt>
                <c:pt idx="11">
                  <c:v>592.47552000000007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C8-4994-BB80-00C722D6B72D}"/>
            </c:ext>
          </c:extLst>
        </c:ser>
        <c:ser>
          <c:idx val="4"/>
          <c:order val="4"/>
          <c:tx>
            <c:strRef>
              <c:f>Pricing_Calculator!$C$48</c:f>
              <c:strCache>
                <c:ptCount val="1"/>
                <c:pt idx="0">
                  <c:v>Nova Lite</c:v>
                </c:pt>
              </c:strCache>
            </c:strRef>
          </c:tx>
          <c:spPr>
            <a:ln w="28575" cap="rnd">
              <a:solidFill>
                <a:srgbClr val="FAB81F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Pricing_Calculator!$D$43:$O$43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Pricing_Calculator!$D$48:$O$48</c:f>
              <c:numCache>
                <c:formatCode>"$"#,##0</c:formatCode>
                <c:ptCount val="12"/>
                <c:pt idx="0">
                  <c:v>84.639359999999996</c:v>
                </c:pt>
                <c:pt idx="1">
                  <c:v>169.27871999999999</c:v>
                </c:pt>
                <c:pt idx="2">
                  <c:v>253.91807999999997</c:v>
                </c:pt>
                <c:pt idx="3">
                  <c:v>338.55743999999999</c:v>
                </c:pt>
                <c:pt idx="4">
                  <c:v>423.1968</c:v>
                </c:pt>
                <c:pt idx="5">
                  <c:v>507.83615999999995</c:v>
                </c:pt>
                <c:pt idx="6">
                  <c:v>592.47551999999996</c:v>
                </c:pt>
                <c:pt idx="7">
                  <c:v>677.11487999999997</c:v>
                </c:pt>
                <c:pt idx="8">
                  <c:v>761.75423999999998</c:v>
                </c:pt>
                <c:pt idx="9">
                  <c:v>846.39359999999999</c:v>
                </c:pt>
                <c:pt idx="10">
                  <c:v>931.03296</c:v>
                </c:pt>
                <c:pt idx="11">
                  <c:v>1015.6723199999999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C8-4994-BB80-00C722D6B72D}"/>
            </c:ext>
          </c:extLst>
        </c:ser>
        <c:ser>
          <c:idx val="5"/>
          <c:order val="5"/>
          <c:tx>
            <c:strRef>
              <c:f>Pricing_Calculator!$C$49</c:f>
              <c:strCache>
                <c:ptCount val="1"/>
                <c:pt idx="0">
                  <c:v>Nova Pro</c:v>
                </c:pt>
              </c:strCache>
            </c:strRef>
          </c:tx>
          <c:spPr>
            <a:ln w="28575" cap="rnd">
              <a:solidFill>
                <a:srgbClr val="EE2346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Pricing_Calculator!$D$43:$O$43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Pricing_Calculator!$D$49:$O$49</c:f>
              <c:numCache>
                <c:formatCode>"$"#,##0</c:formatCode>
                <c:ptCount val="12"/>
                <c:pt idx="0">
                  <c:v>1128.5248000000001</c:v>
                </c:pt>
                <c:pt idx="1">
                  <c:v>2257.0496000000003</c:v>
                </c:pt>
                <c:pt idx="2">
                  <c:v>3385.5744000000004</c:v>
                </c:pt>
                <c:pt idx="3">
                  <c:v>4514.0992000000006</c:v>
                </c:pt>
                <c:pt idx="4">
                  <c:v>5642.6240000000007</c:v>
                </c:pt>
                <c:pt idx="5">
                  <c:v>6771.1488000000008</c:v>
                </c:pt>
                <c:pt idx="6">
                  <c:v>7899.673600000001</c:v>
                </c:pt>
                <c:pt idx="7">
                  <c:v>9028.1984000000011</c:v>
                </c:pt>
                <c:pt idx="8">
                  <c:v>10156.7232</c:v>
                </c:pt>
                <c:pt idx="9">
                  <c:v>11285.248000000001</c:v>
                </c:pt>
                <c:pt idx="10">
                  <c:v>12413.772800000002</c:v>
                </c:pt>
                <c:pt idx="11">
                  <c:v>13542.297600000002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BC8-4994-BB80-00C722D6B72D}"/>
            </c:ext>
          </c:extLst>
        </c:ser>
        <c:ser>
          <c:idx val="6"/>
          <c:order val="6"/>
          <c:tx>
            <c:strRef>
              <c:f>Pricing_Calculator!$C$50</c:f>
              <c:strCache>
                <c:ptCount val="1"/>
                <c:pt idx="0">
                  <c:v>Nova Premier</c:v>
                </c:pt>
              </c:strCache>
            </c:strRef>
          </c:tx>
          <c:spPr>
            <a:ln w="28575" cap="rnd">
              <a:solidFill>
                <a:srgbClr val="8B5CF6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Pricing_Calculator!$D$43:$O$43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Pricing_Calculator!$D$50:$O$50</c:f>
              <c:numCache>
                <c:formatCode>"$"#,##0</c:formatCode>
                <c:ptCount val="12"/>
                <c:pt idx="0">
                  <c:v>3894.2962500000003</c:v>
                </c:pt>
                <c:pt idx="1">
                  <c:v>7788.5925000000007</c:v>
                </c:pt>
                <c:pt idx="2">
                  <c:v>11682.888750000002</c:v>
                </c:pt>
                <c:pt idx="3">
                  <c:v>15577.185000000001</c:v>
                </c:pt>
                <c:pt idx="4">
                  <c:v>19471.481250000001</c:v>
                </c:pt>
                <c:pt idx="5">
                  <c:v>23365.777500000004</c:v>
                </c:pt>
                <c:pt idx="6">
                  <c:v>27260.073750000003</c:v>
                </c:pt>
                <c:pt idx="7">
                  <c:v>31154.370000000003</c:v>
                </c:pt>
                <c:pt idx="8">
                  <c:v>35048.666250000002</c:v>
                </c:pt>
                <c:pt idx="9">
                  <c:v>38942.962500000001</c:v>
                </c:pt>
                <c:pt idx="10">
                  <c:v>42837.258750000001</c:v>
                </c:pt>
                <c:pt idx="11">
                  <c:v>46731.555000000008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BC8-4994-BB80-00C722D6B72D}"/>
            </c:ext>
          </c:extLst>
        </c:ser>
        <c:ser>
          <c:idx val="7"/>
          <c:order val="7"/>
          <c:tx>
            <c:strRef>
              <c:f>Pricing_Calculator!$C$51</c:f>
              <c:strCache>
                <c:ptCount val="1"/>
                <c:pt idx="0">
                  <c:v>Llama 3.3 70B</c:v>
                </c:pt>
              </c:strCache>
            </c:strRef>
          </c:tx>
          <c:spPr>
            <a:ln w="28575" cap="rnd">
              <a:solidFill>
                <a:srgbClr val="6B728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Pricing_Calculator!$D$43:$O$43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Pricing_Calculator!$D$51:$O$51</c:f>
              <c:numCache>
                <c:formatCode>"$"#,##0</c:formatCode>
                <c:ptCount val="12"/>
                <c:pt idx="0">
                  <c:v>698.01732000000004</c:v>
                </c:pt>
                <c:pt idx="1">
                  <c:v>1396.0346400000001</c:v>
                </c:pt>
                <c:pt idx="2">
                  <c:v>2094.0519600000002</c:v>
                </c:pt>
                <c:pt idx="3">
                  <c:v>2792.0692800000002</c:v>
                </c:pt>
                <c:pt idx="4">
                  <c:v>3490.0866000000001</c:v>
                </c:pt>
                <c:pt idx="5">
                  <c:v>4188.1039200000005</c:v>
                </c:pt>
                <c:pt idx="6">
                  <c:v>4886.1212400000004</c:v>
                </c:pt>
                <c:pt idx="7">
                  <c:v>5584.1385600000003</c:v>
                </c:pt>
                <c:pt idx="8">
                  <c:v>6282.1558800000003</c:v>
                </c:pt>
                <c:pt idx="9">
                  <c:v>6980.1732000000002</c:v>
                </c:pt>
                <c:pt idx="10">
                  <c:v>7678.1905200000001</c:v>
                </c:pt>
                <c:pt idx="11">
                  <c:v>8376.2078400000009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BC8-4994-BB80-00C722D6B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7644896"/>
        <c:axId val="907628576"/>
      </c:lineChart>
      <c:catAx>
        <c:axId val="90764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B367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B367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628576"/>
        <c:crosses val="autoZero"/>
        <c:auto val="1"/>
        <c:lblAlgn val="ctr"/>
        <c:lblOffset val="100"/>
        <c:noMultiLvlLbl val="0"/>
      </c:catAx>
      <c:valAx>
        <c:axId val="90762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B367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Cost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B367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64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B3677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Cost Comparison by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B367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917334536623286"/>
          <c:y val="0.10078816495887266"/>
          <c:w val="0.67800127791617626"/>
          <c:h val="0.8340289291762189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Pricing_Calculator!$N$3</c:f>
              <c:strCache>
                <c:ptCount val="1"/>
                <c:pt idx="0">
                  <c:v>Annual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B3677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Pricing_Calculator!$M$5:$M$11</c:f>
              <c:strCache>
                <c:ptCount val="7"/>
                <c:pt idx="0">
                  <c:v>Claude Sonnet 4.6</c:v>
                </c:pt>
                <c:pt idx="1">
                  <c:v>Nova Premier</c:v>
                </c:pt>
                <c:pt idx="2">
                  <c:v>Claude Haiku 4.5</c:v>
                </c:pt>
                <c:pt idx="3">
                  <c:v>Nova Pro</c:v>
                </c:pt>
                <c:pt idx="4">
                  <c:v>Llama 3.3 70B</c:v>
                </c:pt>
                <c:pt idx="5">
                  <c:v>Nova Lite</c:v>
                </c:pt>
                <c:pt idx="6">
                  <c:v>Nova Micro</c:v>
                </c:pt>
              </c:strCache>
            </c:strRef>
          </c:cat>
          <c:val>
            <c:numRef>
              <c:f>Pricing_Calculator!$N$5:$N$11</c:f>
              <c:numCache>
                <c:formatCode>"$"#,##0</c:formatCode>
                <c:ptCount val="7"/>
                <c:pt idx="0">
                  <c:v>56077.866000000009</c:v>
                </c:pt>
                <c:pt idx="1">
                  <c:v>46731.555000000008</c:v>
                </c:pt>
                <c:pt idx="2">
                  <c:v>18692.621999999999</c:v>
                </c:pt>
                <c:pt idx="3">
                  <c:v>13542.297600000002</c:v>
                </c:pt>
                <c:pt idx="4">
                  <c:v>8376.2078400000009</c:v>
                </c:pt>
                <c:pt idx="5">
                  <c:v>1015.6723199999999</c:v>
                </c:pt>
                <c:pt idx="6">
                  <c:v>592.47552000000007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8-4ADC-9759-5729508AE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7734656"/>
        <c:axId val="907734176"/>
      </c:barChart>
      <c:catAx>
        <c:axId val="907734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34176"/>
        <c:crosses val="autoZero"/>
        <c:auto val="1"/>
        <c:lblAlgn val="ctr"/>
        <c:lblOffset val="100"/>
        <c:noMultiLvlLbl val="0"/>
      </c:catAx>
      <c:valAx>
        <c:axId val="90773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3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B3677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Scaling: Hosted vs On-Demand by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B367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421809855385059E-2"/>
          <c:y val="0.13170614763371588"/>
          <c:w val="0.94604125307970732"/>
          <c:h val="0.6348029503278475"/>
        </c:manualLayout>
      </c:layout>
      <c:lineChart>
        <c:grouping val="standard"/>
        <c:varyColors val="0"/>
        <c:ser>
          <c:idx val="0"/>
          <c:order val="0"/>
          <c:tx>
            <c:strRef>
              <c:f>'Hosted vs On Demand'!$J$38</c:f>
              <c:strCache>
                <c:ptCount val="1"/>
                <c:pt idx="0">
                  <c:v>Hosted (Llama)</c:v>
                </c:pt>
              </c:strCache>
            </c:strRef>
          </c:tx>
          <c:spPr>
            <a:ln w="38100" cap="rnd">
              <a:solidFill>
                <a:srgbClr val="EE234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'Hosted vs On Demand'!$I$39:$I$48</c:f>
              <c:numCache>
                <c:formatCode>General</c:formatCode>
                <c:ptCount val="10"/>
                <c:pt idx="0">
                  <c:v>1000</c:v>
                </c:pt>
                <c:pt idx="2">
                  <c:v>6000</c:v>
                </c:pt>
                <c:pt idx="3">
                  <c:v>10000</c:v>
                </c:pt>
                <c:pt idx="4">
                  <c:v>25000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'Hosted vs On Demand'!$J$39:$J$48</c:f>
              <c:numCache>
                <c:formatCode>General</c:formatCode>
                <c:ptCount val="10"/>
                <c:pt idx="0" formatCode="&quot;$&quot;#,##0">
                  <c:v>2472.1260000000002</c:v>
                </c:pt>
                <c:pt idx="2" formatCode="&quot;$&quot;#,##0">
                  <c:v>2472.1260000000002</c:v>
                </c:pt>
                <c:pt idx="3" formatCode="&quot;$&quot;#,##0">
                  <c:v>2472.1260000000002</c:v>
                </c:pt>
                <c:pt idx="4" formatCode="&quot;$&quot;#,##0">
                  <c:v>2472.1260000000002</c:v>
                </c:pt>
                <c:pt idx="5" formatCode="&quot;$&quot;#,##0">
                  <c:v>2472.1260000000002</c:v>
                </c:pt>
                <c:pt idx="6" formatCode="&quot;$&quot;#,##0">
                  <c:v>2472.1260000000002</c:v>
                </c:pt>
                <c:pt idx="7" formatCode="&quot;$&quot;#,##0">
                  <c:v>2472.1260000000002</c:v>
                </c:pt>
                <c:pt idx="8" formatCode="&quot;$&quot;#,##0">
                  <c:v>2472.1260000000002</c:v>
                </c:pt>
                <c:pt idx="9" formatCode="&quot;$&quot;#,##0">
                  <c:v>2472.1260000000002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B3-4250-828C-9C1937E2EF16}"/>
            </c:ext>
          </c:extLst>
        </c:ser>
        <c:ser>
          <c:idx val="1"/>
          <c:order val="1"/>
          <c:tx>
            <c:strRef>
              <c:f>'Hosted vs On Demand'!$K$38</c:f>
              <c:strCache>
                <c:ptCount val="1"/>
                <c:pt idx="0">
                  <c:v>On-Demand (Nova Micro)</c:v>
                </c:pt>
              </c:strCache>
            </c:strRef>
          </c:tx>
          <c:spPr>
            <a:ln w="38100" cap="rnd">
              <a:solidFill>
                <a:srgbClr val="00CC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'Hosted vs On Demand'!$I$39:$I$48</c:f>
              <c:numCache>
                <c:formatCode>General</c:formatCode>
                <c:ptCount val="10"/>
                <c:pt idx="0">
                  <c:v>1000</c:v>
                </c:pt>
                <c:pt idx="2">
                  <c:v>6000</c:v>
                </c:pt>
                <c:pt idx="3">
                  <c:v>10000</c:v>
                </c:pt>
                <c:pt idx="4">
                  <c:v>25000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'Hosted vs On Demand'!$K$39:$K$48</c:f>
              <c:numCache>
                <c:formatCode>General</c:formatCode>
                <c:ptCount val="10"/>
                <c:pt idx="0" formatCode="&quot;$&quot;#,##0">
                  <c:v>22.933575000000001</c:v>
                </c:pt>
                <c:pt idx="2" formatCode="&quot;$&quot;#,##0">
                  <c:v>137.60145</c:v>
                </c:pt>
                <c:pt idx="3" formatCode="&quot;$&quot;#,##0">
                  <c:v>229.33575000000002</c:v>
                </c:pt>
                <c:pt idx="4" formatCode="&quot;$&quot;#,##0">
                  <c:v>573.33937500000002</c:v>
                </c:pt>
                <c:pt idx="5" formatCode="&quot;$&quot;#,##0">
                  <c:v>1146.67875</c:v>
                </c:pt>
                <c:pt idx="6" formatCode="&quot;$&quot;#,##0">
                  <c:v>2293.3575000000001</c:v>
                </c:pt>
                <c:pt idx="7" formatCode="&quot;$&quot;#,##0">
                  <c:v>4586.7150000000001</c:v>
                </c:pt>
                <c:pt idx="8" formatCode="&quot;$&quot;#,##0">
                  <c:v>11466.7875</c:v>
                </c:pt>
                <c:pt idx="9" formatCode="&quot;$&quot;#,##0">
                  <c:v>22933.575000000001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B3-4250-828C-9C1937E2E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1089199"/>
        <c:axId val="2071089679"/>
      </c:lineChart>
      <c:catAx>
        <c:axId val="207108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089679"/>
        <c:crosses val="autoZero"/>
        <c:auto val="1"/>
        <c:lblAlgn val="ctr"/>
        <c:lblOffset val="100"/>
        <c:noMultiLvlLbl val="0"/>
      </c:catAx>
      <c:valAx>
        <c:axId val="207108967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08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B3677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Cost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B367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A0C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8F-4CD0-9948-AAE7E2B601A3}"/>
              </c:ext>
            </c:extLst>
          </c:dPt>
          <c:dPt>
            <c:idx val="1"/>
            <c:bubble3D val="0"/>
            <c:spPr>
              <a:solidFill>
                <a:srgbClr val="FAB81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8F-4CD0-9948-AAE7E2B601A3}"/>
              </c:ext>
            </c:extLst>
          </c:dPt>
          <c:dPt>
            <c:idx val="2"/>
            <c:bubble3D val="0"/>
            <c:spPr>
              <a:solidFill>
                <a:srgbClr val="A11B7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8F-4CD0-9948-AAE7E2B601A3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B3677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'Pricing_Calculator (2)'!$C$11:$C$13</c:f>
              <c:strCache>
                <c:ptCount val="3"/>
                <c:pt idx="0">
                  <c:v>Input Tokens</c:v>
                </c:pt>
                <c:pt idx="1">
                  <c:v>Output Tokens</c:v>
                </c:pt>
                <c:pt idx="2">
                  <c:v>Infrastructure</c:v>
                </c:pt>
              </c:strCache>
            </c:strRef>
          </c:cat>
          <c:val>
            <c:numRef>
              <c:f>'Pricing_Calculator (2)'!$E$11:$E$13</c:f>
              <c:numCache>
                <c:formatCode>0.0%</c:formatCode>
                <c:ptCount val="3"/>
                <c:pt idx="0">
                  <c:v>0.56226891353811148</c:v>
                </c:pt>
                <c:pt idx="1">
                  <c:v>0.43773108646188846</c:v>
                </c:pt>
                <c:pt idx="2">
                  <c:v>0.16666666666666669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8F-4CD0-9948-AAE7E2B60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B3677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Cumulative Cost Projection by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B367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'Pricing_Calculator (2)'!$C$44</c:f>
              <c:strCache>
                <c:ptCount val="1"/>
                <c:pt idx="0">
                  <c:v>Claude Haiku 4.5</c:v>
                </c:pt>
              </c:strCache>
            </c:strRef>
          </c:tx>
          <c:spPr>
            <a:ln w="28575" cap="rnd">
              <a:solidFill>
                <a:srgbClr val="00A0C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'Pricing_Calculator (2)'!$D$43:$O$43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'Pricing_Calculator (2)'!$D$44:$O$44</c:f>
              <c:numCache>
                <c:formatCode>"$"#,##0</c:formatCode>
                <c:ptCount val="12"/>
                <c:pt idx="0">
                  <c:v>1797.4728</c:v>
                </c:pt>
                <c:pt idx="1">
                  <c:v>3594.9456</c:v>
                </c:pt>
                <c:pt idx="2">
                  <c:v>5392.4184000000005</c:v>
                </c:pt>
                <c:pt idx="3">
                  <c:v>7189.8912</c:v>
                </c:pt>
                <c:pt idx="4">
                  <c:v>8987.3639999999996</c:v>
                </c:pt>
                <c:pt idx="5">
                  <c:v>10784.836800000001</c:v>
                </c:pt>
                <c:pt idx="6">
                  <c:v>12582.309600000001</c:v>
                </c:pt>
                <c:pt idx="7">
                  <c:v>14379.7824</c:v>
                </c:pt>
                <c:pt idx="8">
                  <c:v>16177.2552</c:v>
                </c:pt>
                <c:pt idx="9">
                  <c:v>17974.727999999999</c:v>
                </c:pt>
                <c:pt idx="10">
                  <c:v>19772.200799999999</c:v>
                </c:pt>
                <c:pt idx="11">
                  <c:v>21569.673600000002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E7-4936-A840-D6D25FB7CF07}"/>
            </c:ext>
          </c:extLst>
        </c:ser>
        <c:ser>
          <c:idx val="1"/>
          <c:order val="1"/>
          <c:tx>
            <c:strRef>
              <c:f>'Pricing_Calculator (2)'!$C$45</c:f>
              <c:strCache>
                <c:ptCount val="1"/>
                <c:pt idx="0">
                  <c:v>Claude Sonnet 4.6</c:v>
                </c:pt>
              </c:strCache>
            </c:strRef>
          </c:tx>
          <c:spPr>
            <a:ln w="28575" cap="rnd">
              <a:solidFill>
                <a:srgbClr val="0B3677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'Pricing_Calculator (2)'!$D$43:$O$43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'Pricing_Calculator (2)'!$D$45:$O$45</c:f>
              <c:numCache>
                <c:formatCode>"$"#,##0</c:formatCode>
                <c:ptCount val="12"/>
                <c:pt idx="0">
                  <c:v>5392.4183999999996</c:v>
                </c:pt>
                <c:pt idx="1">
                  <c:v>10784.836799999999</c:v>
                </c:pt>
                <c:pt idx="2">
                  <c:v>16177.2552</c:v>
                </c:pt>
                <c:pt idx="3">
                  <c:v>21569.673599999998</c:v>
                </c:pt>
                <c:pt idx="4">
                  <c:v>26962.091999999997</c:v>
                </c:pt>
                <c:pt idx="5">
                  <c:v>32354.510399999999</c:v>
                </c:pt>
                <c:pt idx="6">
                  <c:v>37746.928799999994</c:v>
                </c:pt>
                <c:pt idx="7">
                  <c:v>43139.347199999997</c:v>
                </c:pt>
                <c:pt idx="8">
                  <c:v>48531.765599999999</c:v>
                </c:pt>
                <c:pt idx="9">
                  <c:v>53924.183999999994</c:v>
                </c:pt>
                <c:pt idx="10">
                  <c:v>59316.602399999996</c:v>
                </c:pt>
                <c:pt idx="11">
                  <c:v>64709.020799999998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E7-4936-A840-D6D25FB7CF07}"/>
            </c:ext>
          </c:extLst>
        </c:ser>
        <c:ser>
          <c:idx val="2"/>
          <c:order val="2"/>
          <c:tx>
            <c:strRef>
              <c:f>'Pricing_Calculator (2)'!$C$46</c:f>
              <c:strCache>
                <c:ptCount val="1"/>
                <c:pt idx="0">
                  <c:v>Claude Opus 4.7</c:v>
                </c:pt>
              </c:strCache>
            </c:strRef>
          </c:tx>
          <c:spPr>
            <a:ln w="28575" cap="rnd">
              <a:solidFill>
                <a:srgbClr val="A11B7E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'Pricing_Calculator (2)'!$D$43:$O$43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'Pricing_Calculator (2)'!$D$46:$O$46</c:f>
              <c:numCache>
                <c:formatCode>"$"#,##0</c:formatCode>
                <c:ptCount val="12"/>
                <c:pt idx="0">
                  <c:v>8987.3639999999996</c:v>
                </c:pt>
                <c:pt idx="1">
                  <c:v>17974.727999999999</c:v>
                </c:pt>
                <c:pt idx="2">
                  <c:v>26962.091999999997</c:v>
                </c:pt>
                <c:pt idx="3">
                  <c:v>35949.455999999998</c:v>
                </c:pt>
                <c:pt idx="4">
                  <c:v>44936.82</c:v>
                </c:pt>
                <c:pt idx="5">
                  <c:v>53924.183999999994</c:v>
                </c:pt>
                <c:pt idx="6">
                  <c:v>62911.547999999995</c:v>
                </c:pt>
                <c:pt idx="7">
                  <c:v>71898.911999999997</c:v>
                </c:pt>
                <c:pt idx="8">
                  <c:v>80886.275999999998</c:v>
                </c:pt>
                <c:pt idx="9">
                  <c:v>89873.64</c:v>
                </c:pt>
                <c:pt idx="10">
                  <c:v>98861.004000000001</c:v>
                </c:pt>
                <c:pt idx="11">
                  <c:v>107848.36799999999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E7-4936-A840-D6D25FB7CF07}"/>
            </c:ext>
          </c:extLst>
        </c:ser>
        <c:ser>
          <c:idx val="3"/>
          <c:order val="3"/>
          <c:tx>
            <c:strRef>
              <c:f>'Pricing_Calculator (2)'!$C$47</c:f>
              <c:strCache>
                <c:ptCount val="1"/>
                <c:pt idx="0">
                  <c:v>Nova Micro</c:v>
                </c:pt>
              </c:strCache>
            </c:strRef>
          </c:tx>
          <c:spPr>
            <a:ln w="28575" cap="rnd">
              <a:solidFill>
                <a:srgbClr val="00CC66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'Pricing_Calculator (2)'!$D$43:$O$43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'Pricing_Calculator (2)'!$D$47:$O$47</c:f>
              <c:numCache>
                <c:formatCode>"$"#,##0</c:formatCode>
                <c:ptCount val="12"/>
                <c:pt idx="0">
                  <c:v>56.706048000000003</c:v>
                </c:pt>
                <c:pt idx="1">
                  <c:v>113.41209600000001</c:v>
                </c:pt>
                <c:pt idx="2">
                  <c:v>170.118144</c:v>
                </c:pt>
                <c:pt idx="3">
                  <c:v>226.82419200000001</c:v>
                </c:pt>
                <c:pt idx="4">
                  <c:v>283.53023999999999</c:v>
                </c:pt>
                <c:pt idx="5">
                  <c:v>340.236288</c:v>
                </c:pt>
                <c:pt idx="6">
                  <c:v>396.94233600000001</c:v>
                </c:pt>
                <c:pt idx="7">
                  <c:v>453.64838400000002</c:v>
                </c:pt>
                <c:pt idx="8">
                  <c:v>510.35443200000003</c:v>
                </c:pt>
                <c:pt idx="9">
                  <c:v>567.06047999999998</c:v>
                </c:pt>
                <c:pt idx="10">
                  <c:v>623.76652799999999</c:v>
                </c:pt>
                <c:pt idx="11">
                  <c:v>680.472576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E7-4936-A840-D6D25FB7CF07}"/>
            </c:ext>
          </c:extLst>
        </c:ser>
        <c:ser>
          <c:idx val="4"/>
          <c:order val="4"/>
          <c:tx>
            <c:strRef>
              <c:f>'Pricing_Calculator (2)'!$C$48</c:f>
              <c:strCache>
                <c:ptCount val="1"/>
                <c:pt idx="0">
                  <c:v>Nova Lite</c:v>
                </c:pt>
              </c:strCache>
            </c:strRef>
          </c:tx>
          <c:spPr>
            <a:ln w="28575" cap="rnd">
              <a:solidFill>
                <a:srgbClr val="FAB81F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'Pricing_Calculator (2)'!$D$43:$O$43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'Pricing_Calculator (2)'!$D$48:$O$48</c:f>
              <c:numCache>
                <c:formatCode>"$"#,##0</c:formatCode>
                <c:ptCount val="12"/>
                <c:pt idx="0">
                  <c:v>97.210368000000003</c:v>
                </c:pt>
                <c:pt idx="1">
                  <c:v>194.42073600000001</c:v>
                </c:pt>
                <c:pt idx="2">
                  <c:v>291.63110399999999</c:v>
                </c:pt>
                <c:pt idx="3">
                  <c:v>388.84147200000001</c:v>
                </c:pt>
                <c:pt idx="4">
                  <c:v>486.05184000000003</c:v>
                </c:pt>
                <c:pt idx="5">
                  <c:v>583.26220799999999</c:v>
                </c:pt>
                <c:pt idx="6">
                  <c:v>680.472576</c:v>
                </c:pt>
                <c:pt idx="7">
                  <c:v>777.68294400000002</c:v>
                </c:pt>
                <c:pt idx="8">
                  <c:v>874.89331200000004</c:v>
                </c:pt>
                <c:pt idx="9">
                  <c:v>972.10368000000005</c:v>
                </c:pt>
                <c:pt idx="10">
                  <c:v>1069.314048</c:v>
                </c:pt>
                <c:pt idx="11">
                  <c:v>1166.524416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E7-4936-A840-D6D25FB7CF07}"/>
            </c:ext>
          </c:extLst>
        </c:ser>
        <c:ser>
          <c:idx val="5"/>
          <c:order val="5"/>
          <c:tx>
            <c:strRef>
              <c:f>'Pricing_Calculator (2)'!$C$49</c:f>
              <c:strCache>
                <c:ptCount val="1"/>
                <c:pt idx="0">
                  <c:v>Nova Pro</c:v>
                </c:pt>
              </c:strCache>
            </c:strRef>
          </c:tx>
          <c:spPr>
            <a:ln w="28575" cap="rnd">
              <a:solidFill>
                <a:srgbClr val="EE2346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'Pricing_Calculator (2)'!$D$43:$O$43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'Pricing_Calculator (2)'!$D$49:$O$49</c:f>
              <c:numCache>
                <c:formatCode>"$"#,##0</c:formatCode>
                <c:ptCount val="12"/>
                <c:pt idx="0">
                  <c:v>1296.13824</c:v>
                </c:pt>
                <c:pt idx="1">
                  <c:v>2592.27648</c:v>
                </c:pt>
                <c:pt idx="2">
                  <c:v>3888.4147199999998</c:v>
                </c:pt>
                <c:pt idx="3">
                  <c:v>5184.55296</c:v>
                </c:pt>
                <c:pt idx="4">
                  <c:v>6480.6912000000002</c:v>
                </c:pt>
                <c:pt idx="5">
                  <c:v>7776.8294399999995</c:v>
                </c:pt>
                <c:pt idx="6">
                  <c:v>9072.9676799999997</c:v>
                </c:pt>
                <c:pt idx="7">
                  <c:v>10369.10592</c:v>
                </c:pt>
                <c:pt idx="8">
                  <c:v>11665.24416</c:v>
                </c:pt>
                <c:pt idx="9">
                  <c:v>12961.3824</c:v>
                </c:pt>
                <c:pt idx="10">
                  <c:v>14257.520640000001</c:v>
                </c:pt>
                <c:pt idx="11">
                  <c:v>15553.658879999999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E7-4936-A840-D6D25FB7CF07}"/>
            </c:ext>
          </c:extLst>
        </c:ser>
        <c:ser>
          <c:idx val="6"/>
          <c:order val="6"/>
          <c:tx>
            <c:strRef>
              <c:f>'Pricing_Calculator (2)'!$C$50</c:f>
              <c:strCache>
                <c:ptCount val="1"/>
                <c:pt idx="0">
                  <c:v>Nova Premier</c:v>
                </c:pt>
              </c:strCache>
            </c:strRef>
          </c:tx>
          <c:spPr>
            <a:ln w="28575" cap="rnd">
              <a:solidFill>
                <a:srgbClr val="8B5CF6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'Pricing_Calculator (2)'!$D$43:$O$43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'Pricing_Calculator (2)'!$D$50:$O$50</c:f>
              <c:numCache>
                <c:formatCode>"$"#,##0</c:formatCode>
                <c:ptCount val="12"/>
                <c:pt idx="0">
                  <c:v>4493.6819999999998</c:v>
                </c:pt>
                <c:pt idx="1">
                  <c:v>8987.3639999999996</c:v>
                </c:pt>
                <c:pt idx="2">
                  <c:v>13481.045999999998</c:v>
                </c:pt>
                <c:pt idx="3">
                  <c:v>17974.727999999999</c:v>
                </c:pt>
                <c:pt idx="4">
                  <c:v>22468.41</c:v>
                </c:pt>
                <c:pt idx="5">
                  <c:v>26962.091999999997</c:v>
                </c:pt>
                <c:pt idx="6">
                  <c:v>31455.773999999998</c:v>
                </c:pt>
                <c:pt idx="7">
                  <c:v>35949.455999999998</c:v>
                </c:pt>
                <c:pt idx="8">
                  <c:v>40443.137999999999</c:v>
                </c:pt>
                <c:pt idx="9">
                  <c:v>44936.82</c:v>
                </c:pt>
                <c:pt idx="10">
                  <c:v>49430.502</c:v>
                </c:pt>
                <c:pt idx="11">
                  <c:v>53924.183999999994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E7-4936-A840-D6D25FB7CF07}"/>
            </c:ext>
          </c:extLst>
        </c:ser>
        <c:ser>
          <c:idx val="7"/>
          <c:order val="7"/>
          <c:tx>
            <c:strRef>
              <c:f>'Pricing_Calculator (2)'!$C$51</c:f>
              <c:strCache>
                <c:ptCount val="1"/>
                <c:pt idx="0">
                  <c:v>Llama 3.3 70B</c:v>
                </c:pt>
              </c:strCache>
            </c:strRef>
          </c:tx>
          <c:spPr>
            <a:ln w="28575" cap="rnd">
              <a:solidFill>
                <a:srgbClr val="6B728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'Pricing_Calculator (2)'!$D$43:$O$43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'Pricing_Calculator (2)'!$D$51:$O$51</c:f>
              <c:numCache>
                <c:formatCode>"$"#,##0</c:formatCode>
                <c:ptCount val="12"/>
                <c:pt idx="0">
                  <c:v>783.5564159999999</c:v>
                </c:pt>
                <c:pt idx="1">
                  <c:v>1567.1128319999998</c:v>
                </c:pt>
                <c:pt idx="2">
                  <c:v>2350.6692479999997</c:v>
                </c:pt>
                <c:pt idx="3">
                  <c:v>3134.2256639999996</c:v>
                </c:pt>
                <c:pt idx="4">
                  <c:v>3917.7820799999995</c:v>
                </c:pt>
                <c:pt idx="5">
                  <c:v>4701.3384959999994</c:v>
                </c:pt>
                <c:pt idx="6">
                  <c:v>5484.8949119999997</c:v>
                </c:pt>
                <c:pt idx="7">
                  <c:v>6268.4513279999992</c:v>
                </c:pt>
                <c:pt idx="8">
                  <c:v>7052.0077439999986</c:v>
                </c:pt>
                <c:pt idx="9">
                  <c:v>7835.564159999999</c:v>
                </c:pt>
                <c:pt idx="10">
                  <c:v>8619.1205759999993</c:v>
                </c:pt>
                <c:pt idx="11">
                  <c:v>9402.6769919999988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E7-4936-A840-D6D25FB7C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7644896"/>
        <c:axId val="907628576"/>
      </c:lineChart>
      <c:catAx>
        <c:axId val="90764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B367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B367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628576"/>
        <c:crosses val="autoZero"/>
        <c:auto val="1"/>
        <c:lblAlgn val="ctr"/>
        <c:lblOffset val="100"/>
        <c:noMultiLvlLbl val="0"/>
      </c:catAx>
      <c:valAx>
        <c:axId val="90762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B367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Cost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B367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64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B3677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Cost Comparison by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B367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917334536623286"/>
          <c:y val="0.10078816495887266"/>
          <c:w val="0.67800127791617626"/>
          <c:h val="0.8340289291762189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'Pricing_Calculator (2)'!$N$3</c:f>
              <c:strCache>
                <c:ptCount val="1"/>
                <c:pt idx="0">
                  <c:v>Annual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B3677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'Pricing_Calculator (2)'!$M$5:$M$11</c:f>
              <c:strCache>
                <c:ptCount val="7"/>
                <c:pt idx="0">
                  <c:v>Claude Sonnet 4.6</c:v>
                </c:pt>
                <c:pt idx="1">
                  <c:v>Nova Premier</c:v>
                </c:pt>
                <c:pt idx="2">
                  <c:v>Claude Haiku 4.5</c:v>
                </c:pt>
                <c:pt idx="3">
                  <c:v>Nova Pro</c:v>
                </c:pt>
                <c:pt idx="4">
                  <c:v>Llama 3.3 70B</c:v>
                </c:pt>
                <c:pt idx="5">
                  <c:v>Nova Lite</c:v>
                </c:pt>
                <c:pt idx="6">
                  <c:v>Nova Micro</c:v>
                </c:pt>
              </c:strCache>
            </c:strRef>
          </c:cat>
          <c:val>
            <c:numRef>
              <c:f>'Pricing_Calculator (2)'!$N$5:$N$11</c:f>
              <c:numCache>
                <c:formatCode>"$"#,##0</c:formatCode>
                <c:ptCount val="7"/>
                <c:pt idx="0">
                  <c:v>64709.020799999998</c:v>
                </c:pt>
                <c:pt idx="1">
                  <c:v>53924.183999999994</c:v>
                </c:pt>
                <c:pt idx="2">
                  <c:v>21569.673600000002</c:v>
                </c:pt>
                <c:pt idx="3">
                  <c:v>15553.658879999999</c:v>
                </c:pt>
                <c:pt idx="4">
                  <c:v>9402.6769919999988</c:v>
                </c:pt>
                <c:pt idx="5">
                  <c:v>1166.524416</c:v>
                </c:pt>
                <c:pt idx="6">
                  <c:v>680.472576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D-491B-8FB9-0F2F99D80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7734656"/>
        <c:axId val="907734176"/>
      </c:barChart>
      <c:catAx>
        <c:axId val="907734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34176"/>
        <c:crosses val="autoZero"/>
        <c:auto val="1"/>
        <c:lblAlgn val="ctr"/>
        <c:lblOffset val="100"/>
        <c:noMultiLvlLbl val="0"/>
      </c:catAx>
      <c:valAx>
        <c:axId val="90773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3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23</xdr:row>
      <xdr:rowOff>157842</xdr:rowOff>
    </xdr:from>
    <xdr:to>
      <xdr:col>10</xdr:col>
      <xdr:colOff>1355271</xdr:colOff>
      <xdr:row>38</xdr:row>
      <xdr:rowOff>141514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F5AF35E-2CB0-1004-4DA1-3FE8658B9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12998</xdr:colOff>
      <xdr:row>52</xdr:row>
      <xdr:rowOff>271</xdr:rowOff>
    </xdr:from>
    <xdr:to>
      <xdr:col>15</xdr:col>
      <xdr:colOff>0</xdr:colOff>
      <xdr:row>80</xdr:row>
      <xdr:rowOff>271</xdr:rowOff>
    </xdr:to>
    <xdr:graphicFrame macro="">
      <xdr:nvGraphicFramePr>
        <xdr:cNvPr id="24" name="MultiModelProjection">
          <a:extLst>
            <a:ext uri="{FF2B5EF4-FFF2-40B4-BE49-F238E27FC236}">
              <a16:creationId xmlns:a16="http://schemas.microsoft.com/office/drawing/2014/main" id="{2F5FB3DF-11A2-410D-95AA-EE295CE73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1224904</xdr:colOff>
      <xdr:row>12</xdr:row>
      <xdr:rowOff>1</xdr:rowOff>
    </xdr:from>
    <xdr:to>
      <xdr:col>15</xdr:col>
      <xdr:colOff>3810</xdr:colOff>
      <xdr:row>39</xdr:row>
      <xdr:rowOff>0</xdr:rowOff>
    </xdr:to>
    <xdr:graphicFrame macro="">
      <xdr:nvGraphicFramePr>
        <xdr:cNvPr id="25" name="AnnualCostRanking">
          <a:extLst>
            <a:ext uri="{FF2B5EF4-FFF2-40B4-BE49-F238E27FC236}">
              <a16:creationId xmlns:a16="http://schemas.microsoft.com/office/drawing/2014/main" id="{03459383-7A4B-81D2-9418-4DA47AEC0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41</xdr:row>
      <xdr:rowOff>0</xdr:rowOff>
    </xdr:from>
    <xdr:to>
      <xdr:col>14</xdr:col>
      <xdr:colOff>48985</xdr:colOff>
      <xdr:row>59</xdr:row>
      <xdr:rowOff>10160</xdr:rowOff>
    </xdr:to>
    <xdr:graphicFrame macro="">
      <xdr:nvGraphicFramePr>
        <xdr:cNvPr id="10" name="VolumeScaling">
          <a:extLst>
            <a:ext uri="{FF2B5EF4-FFF2-40B4-BE49-F238E27FC236}">
              <a16:creationId xmlns:a16="http://schemas.microsoft.com/office/drawing/2014/main" id="{4376302F-1BEE-7975-7450-6588B5B7A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23</xdr:row>
      <xdr:rowOff>157842</xdr:rowOff>
    </xdr:from>
    <xdr:to>
      <xdr:col>10</xdr:col>
      <xdr:colOff>1355271</xdr:colOff>
      <xdr:row>38</xdr:row>
      <xdr:rowOff>141514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2DF3F4-8FEF-4960-8DDB-5C9116327D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12998</xdr:colOff>
      <xdr:row>52</xdr:row>
      <xdr:rowOff>271</xdr:rowOff>
    </xdr:from>
    <xdr:to>
      <xdr:col>15</xdr:col>
      <xdr:colOff>0</xdr:colOff>
      <xdr:row>80</xdr:row>
      <xdr:rowOff>271</xdr:rowOff>
    </xdr:to>
    <xdr:graphicFrame macro="">
      <xdr:nvGraphicFramePr>
        <xdr:cNvPr id="3" name="MultiModelProjection">
          <a:extLst>
            <a:ext uri="{FF2B5EF4-FFF2-40B4-BE49-F238E27FC236}">
              <a16:creationId xmlns:a16="http://schemas.microsoft.com/office/drawing/2014/main" id="{8CA6B9AD-EFE9-48C6-8EF5-885608FB99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1224904</xdr:colOff>
      <xdr:row>12</xdr:row>
      <xdr:rowOff>1</xdr:rowOff>
    </xdr:from>
    <xdr:to>
      <xdr:col>15</xdr:col>
      <xdr:colOff>3810</xdr:colOff>
      <xdr:row>39</xdr:row>
      <xdr:rowOff>0</xdr:rowOff>
    </xdr:to>
    <xdr:graphicFrame macro="">
      <xdr:nvGraphicFramePr>
        <xdr:cNvPr id="4" name="AnnualCostRanking">
          <a:extLst>
            <a:ext uri="{FF2B5EF4-FFF2-40B4-BE49-F238E27FC236}">
              <a16:creationId xmlns:a16="http://schemas.microsoft.com/office/drawing/2014/main" id="{BA117766-7FB9-47D3-98CE-47DA19935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R81"/>
  <sheetViews>
    <sheetView zoomScale="85" zoomScaleNormal="85" workbookViewId="0">
      <pane xSplit="1" topLeftCell="B1" activePane="topRight" state="frozen"/>
      <selection activeCell="I30" sqref="I30"/>
      <selection pane="topRight" activeCell="A15" sqref="A15"/>
    </sheetView>
  </sheetViews>
  <sheetFormatPr defaultRowHeight="14.4" x14ac:dyDescent="0.55000000000000004"/>
  <cols>
    <col min="1" max="1" width="26.26171875" customWidth="1"/>
    <col min="2" max="2" width="0.734375" customWidth="1"/>
    <col min="3" max="3" width="24.578125" customWidth="1"/>
    <col min="4" max="6" width="17.578125" customWidth="1"/>
    <col min="7" max="7" width="6.26171875" bestFit="1" customWidth="1"/>
    <col min="8" max="8" width="22.83984375" customWidth="1"/>
    <col min="9" max="10" width="14" customWidth="1"/>
    <col min="11" max="11" width="19.26171875" customWidth="1"/>
    <col min="12" max="12" width="17.68359375" style="3" customWidth="1"/>
    <col min="13" max="13" width="21" customWidth="1"/>
    <col min="14" max="14" width="27.26171875" customWidth="1"/>
    <col min="15" max="25" width="13.1015625" customWidth="1"/>
    <col min="26" max="26" width="0" hidden="1" customWidth="1"/>
    <col min="27" max="32" width="14.83984375" customWidth="1"/>
  </cols>
  <sheetData>
    <row r="1" spans="1:18" ht="35.1" customHeight="1" x14ac:dyDescent="0.7">
      <c r="A1" s="75" t="s">
        <v>0</v>
      </c>
      <c r="B1" s="74"/>
      <c r="C1" s="272" t="s">
        <v>1</v>
      </c>
      <c r="D1" s="273"/>
      <c r="E1" s="273"/>
      <c r="F1" s="274"/>
      <c r="G1" s="20"/>
      <c r="H1" s="275" t="s">
        <v>2</v>
      </c>
      <c r="I1" s="276"/>
      <c r="J1" s="276"/>
      <c r="K1" s="277"/>
      <c r="M1" s="263" t="s">
        <v>3</v>
      </c>
      <c r="N1" s="263"/>
      <c r="O1" s="263"/>
      <c r="P1" s="93"/>
      <c r="Q1" s="93"/>
      <c r="R1" s="93"/>
    </row>
    <row r="2" spans="1:18" ht="20.100000000000001" customHeight="1" thickBot="1" x14ac:dyDescent="0.6">
      <c r="A2" s="76" t="s">
        <v>4</v>
      </c>
      <c r="B2" s="74"/>
      <c r="C2" s="46"/>
      <c r="D2" s="20"/>
      <c r="E2" s="20"/>
      <c r="F2" s="51"/>
      <c r="G2" s="20"/>
      <c r="H2" s="66" t="s">
        <v>5</v>
      </c>
      <c r="I2" s="37" t="s">
        <v>6</v>
      </c>
      <c r="J2" s="37" t="s">
        <v>7</v>
      </c>
      <c r="K2" s="69" t="s">
        <v>8</v>
      </c>
      <c r="M2" s="251" t="s">
        <v>9</v>
      </c>
      <c r="N2" s="251"/>
      <c r="O2" s="251"/>
    </row>
    <row r="3" spans="1:18" x14ac:dyDescent="0.55000000000000004">
      <c r="A3" s="84" t="s">
        <v>10</v>
      </c>
      <c r="B3" s="74"/>
      <c r="C3" s="47" t="s">
        <v>11</v>
      </c>
      <c r="D3" s="25" t="s">
        <v>12</v>
      </c>
      <c r="E3" s="26" t="s">
        <v>13</v>
      </c>
      <c r="F3" s="52" t="s">
        <v>14</v>
      </c>
      <c r="G3" s="20"/>
      <c r="H3" s="68" t="s">
        <v>15</v>
      </c>
      <c r="I3" s="38">
        <f>'AWS LLM Pricing'!D2</f>
        <v>1</v>
      </c>
      <c r="J3" s="38">
        <f>'AWS LLM Pricing'!E2</f>
        <v>5</v>
      </c>
      <c r="K3" s="70">
        <f>((SUM(Per_Agent_Tokens!C:C)+SynthInputTokens)*I3/1000000+(SUM(Per_Agent_Tokens!D:D)+SynthOutputTokens)*J3/1000000)*MonthlyCaseVolume*(1+InfrastructurePct)</f>
        <v>1557.7184999999999</v>
      </c>
      <c r="M3" s="88" t="s">
        <v>5</v>
      </c>
      <c r="N3" s="250" t="s">
        <v>16</v>
      </c>
      <c r="O3" s="250"/>
    </row>
    <row r="4" spans="1:18" ht="18.600000000000001" thickBot="1" x14ac:dyDescent="0.75">
      <c r="A4" s="77" t="s">
        <v>17</v>
      </c>
      <c r="B4" s="74"/>
      <c r="C4" s="48">
        <f>((SUM(Per_Agent_Tokens!C:C)+SynthInputTokens)*InputPrice/1000000+(SUM(Per_Agent_Tokens!D:D)+SynthOutputTokens)*OutputPrice/1000000)*MonthlyCaseVolume*(1+InfrastructurePct)</f>
        <v>4673.1555000000008</v>
      </c>
      <c r="D4" s="27">
        <f>C4/MonthlyCaseVolume</f>
        <v>0.93463110000000016</v>
      </c>
      <c r="E4" s="28">
        <f>C4*12</f>
        <v>56077.866000000009</v>
      </c>
      <c r="F4" s="53">
        <f>SUM(Per_Agent_Tokens!C:C)+SUM(Per_Agent_Tokens!D:D)+SynthInputTokens+SynthOutputTokens</f>
        <v>149149</v>
      </c>
      <c r="G4" s="20"/>
      <c r="H4" s="67" t="s">
        <v>17</v>
      </c>
      <c r="I4" s="39">
        <f>'AWS LLM Pricing'!D3</f>
        <v>3</v>
      </c>
      <c r="J4" s="39">
        <f>'AWS LLM Pricing'!E3</f>
        <v>15</v>
      </c>
      <c r="K4" s="71">
        <f>((SUM(Per_Agent_Tokens!C:C)+SynthInputTokens)*I4/1000000+(SUM(Per_Agent_Tokens!D:D)+SynthOutputTokens)*J4/1000000)*MonthlyCaseVolume*(1+InfrastructurePct)</f>
        <v>4673.1555000000008</v>
      </c>
      <c r="M4" t="str" cm="1">
        <f t="array" ref="M4:N11">_xlfn._xlws.SORT(_xlfn.HSTACK(C44:C51,O44:O51),2,-1)</f>
        <v>Claude Opus 4.7</v>
      </c>
      <c r="N4" s="94">
        <v>93463.110000000015</v>
      </c>
    </row>
    <row r="5" spans="1:18" ht="20.7" thickBot="1" x14ac:dyDescent="0.8">
      <c r="A5" s="78"/>
      <c r="B5" s="74"/>
      <c r="C5" s="46"/>
      <c r="D5" s="20"/>
      <c r="E5" s="20"/>
      <c r="F5" s="51"/>
      <c r="G5" s="20"/>
      <c r="H5" s="68" t="s">
        <v>18</v>
      </c>
      <c r="I5" s="38">
        <f>'AWS LLM Pricing'!D4</f>
        <v>5</v>
      </c>
      <c r="J5" s="38">
        <f>'AWS LLM Pricing'!E4</f>
        <v>25</v>
      </c>
      <c r="K5" s="70">
        <f>((SUM(Per_Agent_Tokens!C:C)+SynthInputTokens)*I5/1000000+(SUM(Per_Agent_Tokens!D:D)+SynthOutputTokens)*J5/1000000)*MonthlyCaseVolume*(1+InfrastructurePct)</f>
        <v>7788.5925000000007</v>
      </c>
      <c r="L5" s="224"/>
      <c r="M5" t="str">
        <v>Claude Sonnet 4.6</v>
      </c>
      <c r="N5" s="94">
        <v>56077.866000000009</v>
      </c>
      <c r="O5" s="8"/>
    </row>
    <row r="6" spans="1:18" x14ac:dyDescent="0.55000000000000004">
      <c r="A6" s="79" t="s">
        <v>19</v>
      </c>
      <c r="B6" s="74"/>
      <c r="C6" s="49" t="s">
        <v>20</v>
      </c>
      <c r="D6" s="29" t="s">
        <v>21</v>
      </c>
      <c r="E6" s="30" t="s">
        <v>22</v>
      </c>
      <c r="F6" s="54" t="s">
        <v>23</v>
      </c>
      <c r="G6" s="20"/>
      <c r="H6" s="67" t="s">
        <v>24</v>
      </c>
      <c r="I6" s="39">
        <f>'AWS LLM Pricing'!D5</f>
        <v>3.5000000000000003E-2</v>
      </c>
      <c r="J6" s="39">
        <f>'AWS LLM Pricing'!E5</f>
        <v>0.14000000000000001</v>
      </c>
      <c r="K6" s="71">
        <f>((SUM(Per_Agent_Tokens!C:C)+SynthInputTokens)*I6/1000000+(SUM(Per_Agent_Tokens!D:D)+SynthOutputTokens)*J6/1000000)*MonthlyCaseVolume*(1+InfrastructurePct)</f>
        <v>49.372960000000006</v>
      </c>
      <c r="M6" t="str">
        <v>Nova Premier</v>
      </c>
      <c r="N6" s="94">
        <v>46731.555000000008</v>
      </c>
      <c r="O6" s="8"/>
    </row>
    <row r="7" spans="1:18" ht="18.600000000000001" thickBot="1" x14ac:dyDescent="0.75">
      <c r="A7" s="84" t="s">
        <v>25</v>
      </c>
      <c r="B7" s="74"/>
      <c r="C7" s="50">
        <f>SUM(Per_Agent_Tokens!C:C)+SynthInputTokens</f>
        <v>126524</v>
      </c>
      <c r="D7" s="44">
        <f>SUM(Per_Agent_Tokens!D:D)+SynthOutputTokens</f>
        <v>22625</v>
      </c>
      <c r="E7" s="45" t="str">
        <f>ROUND(C7/D7,1)&amp;" : 1"</f>
        <v>5.6 : 1</v>
      </c>
      <c r="F7" s="55">
        <f>C4/30</f>
        <v>155.77185000000003</v>
      </c>
      <c r="G7" s="20"/>
      <c r="H7" s="68" t="s">
        <v>26</v>
      </c>
      <c r="I7" s="38">
        <f>'AWS LLM Pricing'!D6</f>
        <v>0.06</v>
      </c>
      <c r="J7" s="38">
        <f>'AWS LLM Pricing'!E6</f>
        <v>0.24</v>
      </c>
      <c r="K7" s="70">
        <f>((SUM(Per_Agent_Tokens!C:C)+SynthInputTokens)*I7/1000000+(SUM(Per_Agent_Tokens!D:D)+SynthOutputTokens)*J7/1000000)*MonthlyCaseVolume*(1+InfrastructurePct)</f>
        <v>84.639359999999996</v>
      </c>
      <c r="M7" t="str">
        <v>Claude Haiku 4.5</v>
      </c>
      <c r="N7" s="94">
        <v>18692.621999999999</v>
      </c>
      <c r="O7" s="8"/>
    </row>
    <row r="8" spans="1:18" ht="14.7" thickBot="1" x14ac:dyDescent="0.6">
      <c r="A8" s="80">
        <f>VLOOKUP(A4,'AWS LLM Pricing'!B:E,3,FALSE)</f>
        <v>3</v>
      </c>
      <c r="B8" s="74"/>
      <c r="C8" s="20"/>
      <c r="D8" s="20"/>
      <c r="E8" s="20"/>
      <c r="F8" s="20"/>
      <c r="G8" s="20"/>
      <c r="H8" s="67" t="s">
        <v>27</v>
      </c>
      <c r="I8" s="39">
        <f>'AWS LLM Pricing'!D7</f>
        <v>0.8</v>
      </c>
      <c r="J8" s="39">
        <f>'AWS LLM Pricing'!E7</f>
        <v>3.2</v>
      </c>
      <c r="K8" s="71">
        <f>((SUM(Per_Agent_Tokens!C:C)+SynthInputTokens)*I8/1000000+(SUM(Per_Agent_Tokens!D:D)+SynthOutputTokens)*J8/1000000)*MonthlyCaseVolume*(1+InfrastructurePct)</f>
        <v>1128.5248000000001</v>
      </c>
      <c r="M8" t="str">
        <v>Nova Pro</v>
      </c>
      <c r="N8" s="94">
        <v>13542.297600000002</v>
      </c>
      <c r="O8" s="8"/>
    </row>
    <row r="9" spans="1:18" ht="15.6" x14ac:dyDescent="0.6">
      <c r="A9" s="84" t="s">
        <v>28</v>
      </c>
      <c r="B9" s="74"/>
      <c r="C9" s="270" t="s">
        <v>346</v>
      </c>
      <c r="D9" s="261"/>
      <c r="E9" s="261"/>
      <c r="F9" s="261"/>
      <c r="G9" s="20"/>
      <c r="H9" s="68" t="s">
        <v>30</v>
      </c>
      <c r="I9" s="38">
        <f>'AWS LLM Pricing'!D8</f>
        <v>2.5</v>
      </c>
      <c r="J9" s="38">
        <f>'AWS LLM Pricing'!E8</f>
        <v>12.5</v>
      </c>
      <c r="K9" s="70">
        <f>((SUM(Per_Agent_Tokens!C:C)+SynthInputTokens)*I9/1000000+(SUM(Per_Agent_Tokens!D:D)+SynthOutputTokens)*J9/1000000)*MonthlyCaseVolume*(1+InfrastructurePct)</f>
        <v>3894.2962500000003</v>
      </c>
      <c r="M9" t="str">
        <v>Llama 3.3 70B</v>
      </c>
      <c r="N9" s="94">
        <v>8376.2078400000009</v>
      </c>
      <c r="O9" s="8"/>
    </row>
    <row r="10" spans="1:18" ht="14.7" thickBot="1" x14ac:dyDescent="0.6">
      <c r="A10" s="80">
        <f>VLOOKUP(A4,'AWS LLM Pricing'!B:E,4,FALSE)</f>
        <v>15</v>
      </c>
      <c r="B10" s="74"/>
      <c r="C10" s="57" t="s">
        <v>31</v>
      </c>
      <c r="D10" s="32" t="s">
        <v>32</v>
      </c>
      <c r="E10" s="251" t="s">
        <v>33</v>
      </c>
      <c r="F10" s="251"/>
      <c r="G10" s="20"/>
      <c r="H10" s="67" t="s">
        <v>34</v>
      </c>
      <c r="I10" s="39">
        <f>'AWS LLM Pricing'!D9</f>
        <v>0.72</v>
      </c>
      <c r="J10" s="39">
        <f>'AWS LLM Pricing'!E9</f>
        <v>0.72</v>
      </c>
      <c r="K10" s="71">
        <f>((SUM(Per_Agent_Tokens!C:C)+SynthInputTokens)*I10/1000000+(SUM(Per_Agent_Tokens!D:D)+SynthOutputTokens)*J10/1000000)*MonthlyCaseVolume*(1+InfrastructurePct)</f>
        <v>698.01732000000004</v>
      </c>
      <c r="M10" t="str">
        <v>Nova Lite</v>
      </c>
      <c r="N10" s="94">
        <v>1015.6723199999999</v>
      </c>
      <c r="O10" s="8"/>
    </row>
    <row r="11" spans="1:18" x14ac:dyDescent="0.55000000000000004">
      <c r="A11" s="78"/>
      <c r="B11" s="74"/>
      <c r="C11" s="46" t="s">
        <v>35</v>
      </c>
      <c r="D11" s="33">
        <f>(SUM(Per_Agent_Tokens!C:C)+SynthInputTokens)*InputPrice/1000000*MonthlyCaseVolume</f>
        <v>1897.8600000000001</v>
      </c>
      <c r="E11" s="279">
        <f>D11/$D$14</f>
        <v>0.40611959092737238</v>
      </c>
      <c r="F11" s="279"/>
      <c r="G11" s="20"/>
      <c r="H11" s="20"/>
      <c r="I11" s="20"/>
      <c r="J11" s="20"/>
      <c r="K11" s="20"/>
      <c r="M11" t="str">
        <v>Nova Micro</v>
      </c>
      <c r="N11" s="94">
        <v>592.47552000000007</v>
      </c>
      <c r="O11" s="8"/>
    </row>
    <row r="12" spans="1:18" ht="15.6" x14ac:dyDescent="0.6">
      <c r="A12" s="79" t="s">
        <v>36</v>
      </c>
      <c r="B12" s="74"/>
      <c r="C12" s="58" t="s">
        <v>37</v>
      </c>
      <c r="D12" s="18">
        <f>(SUM(Per_Agent_Tokens!D:D)+SynthOutputTokens)*OutputPrice/1000000*MonthlyCaseVolume</f>
        <v>1696.875</v>
      </c>
      <c r="E12" s="279">
        <f>D12/$D$14</f>
        <v>0.36311117830339695</v>
      </c>
      <c r="F12" s="279"/>
      <c r="G12" s="20"/>
      <c r="H12" s="275" t="s">
        <v>38</v>
      </c>
      <c r="I12" s="276"/>
      <c r="J12" s="276"/>
      <c r="K12" s="277"/>
      <c r="N12" s="8"/>
      <c r="O12" s="8"/>
    </row>
    <row r="13" spans="1:18" x14ac:dyDescent="0.55000000000000004">
      <c r="A13" s="84" t="s">
        <v>39</v>
      </c>
      <c r="B13" s="74"/>
      <c r="C13" s="46" t="s">
        <v>40</v>
      </c>
      <c r="D13" s="33">
        <f>(D11+D12)*InfrastructurePct</f>
        <v>1078.4204999999999</v>
      </c>
      <c r="E13" s="279">
        <f t="shared" ref="E13" si="0">D13/$D$14</f>
        <v>0.23076923076923075</v>
      </c>
      <c r="F13" s="279"/>
      <c r="G13" s="20"/>
      <c r="H13" s="60" t="s">
        <v>41</v>
      </c>
      <c r="I13" s="34" t="s">
        <v>42</v>
      </c>
      <c r="J13" s="34" t="s">
        <v>43</v>
      </c>
      <c r="K13" s="63" t="s">
        <v>33</v>
      </c>
      <c r="N13" s="8"/>
      <c r="O13" s="8"/>
    </row>
    <row r="14" spans="1:18" ht="14.7" thickBot="1" x14ac:dyDescent="0.6">
      <c r="A14" s="81">
        <v>5000</v>
      </c>
      <c r="B14" s="74"/>
      <c r="C14" s="59" t="s">
        <v>44</v>
      </c>
      <c r="D14" s="56">
        <f>SUM(D11:D13)</f>
        <v>4673.1554999999998</v>
      </c>
      <c r="E14" s="280">
        <f>SUM(E11:E13)</f>
        <v>1.0000000000000002</v>
      </c>
      <c r="F14" s="280"/>
      <c r="G14" s="20"/>
      <c r="H14" s="68" t="s">
        <v>45</v>
      </c>
      <c r="I14" s="40">
        <f>Category_Breakdown!B2</f>
        <v>7</v>
      </c>
      <c r="J14" s="41">
        <f>Category_Breakdown!E2</f>
        <v>23444</v>
      </c>
      <c r="K14" s="72">
        <f>J14/SUM(Category_Breakdown!E2:E10)</f>
        <v>0.17093817672750075</v>
      </c>
      <c r="N14" s="8"/>
      <c r="O14" s="8"/>
    </row>
    <row r="15" spans="1:18" ht="15" customHeight="1" x14ac:dyDescent="0.55000000000000004">
      <c r="A15" s="84" t="s">
        <v>46</v>
      </c>
      <c r="B15" s="74"/>
      <c r="C15" s="87"/>
      <c r="D15" s="20"/>
      <c r="E15" s="20"/>
      <c r="F15" s="20"/>
      <c r="G15" s="20"/>
      <c r="H15" s="67" t="s">
        <v>47</v>
      </c>
      <c r="I15" s="42">
        <f>Category_Breakdown!B3</f>
        <v>5</v>
      </c>
      <c r="J15" s="43">
        <f>Category_Breakdown!E3</f>
        <v>22087</v>
      </c>
      <c r="K15" s="73">
        <f>J15/SUM(Category_Breakdown!E2:E10)</f>
        <v>0.16104382824519317</v>
      </c>
      <c r="N15" s="8"/>
      <c r="O15" s="8"/>
    </row>
    <row r="16" spans="1:18" ht="15.9" thickBot="1" x14ac:dyDescent="0.65">
      <c r="A16" s="82">
        <v>38</v>
      </c>
      <c r="B16" s="74"/>
      <c r="C16" s="275" t="s">
        <v>48</v>
      </c>
      <c r="D16" s="276"/>
      <c r="E16" s="276"/>
      <c r="F16" s="277"/>
      <c r="G16" s="20"/>
      <c r="H16" s="68" t="s">
        <v>49</v>
      </c>
      <c r="I16" s="40">
        <f>Category_Breakdown!B4</f>
        <v>5</v>
      </c>
      <c r="J16" s="41">
        <f>Category_Breakdown!E4</f>
        <v>19919</v>
      </c>
      <c r="K16" s="72">
        <f>J16/SUM(Category_Breakdown!E2:E10)</f>
        <v>0.14523620296174233</v>
      </c>
      <c r="N16" s="8"/>
      <c r="O16" s="8"/>
    </row>
    <row r="17" spans="1:11" x14ac:dyDescent="0.55000000000000004">
      <c r="A17" s="78"/>
      <c r="B17" s="74"/>
      <c r="C17" s="60" t="s">
        <v>50</v>
      </c>
      <c r="D17" s="34" t="s">
        <v>51</v>
      </c>
      <c r="E17" s="34" t="s">
        <v>52</v>
      </c>
      <c r="F17" s="63" t="s">
        <v>53</v>
      </c>
      <c r="G17" s="20"/>
      <c r="H17" s="67" t="s">
        <v>54</v>
      </c>
      <c r="I17" s="42">
        <f>Category_Breakdown!B5</f>
        <v>5</v>
      </c>
      <c r="J17" s="43">
        <f>Category_Breakdown!E5</f>
        <v>18567</v>
      </c>
      <c r="K17" s="73">
        <f>J17/SUM(Category_Breakdown!E2:E10)</f>
        <v>0.13537831117981175</v>
      </c>
    </row>
    <row r="18" spans="1:11" x14ac:dyDescent="0.55000000000000004">
      <c r="A18" s="79" t="s">
        <v>55</v>
      </c>
      <c r="B18" s="74"/>
      <c r="C18" s="61" t="s">
        <v>56</v>
      </c>
      <c r="D18" s="35">
        <f>Z_Optimization_Scenarios!C2</f>
        <v>137149</v>
      </c>
      <c r="E18" s="36">
        <f>Z_Optimization_Scenarios!D2/100</f>
        <v>0</v>
      </c>
      <c r="F18" s="65">
        <v>0</v>
      </c>
      <c r="G18" s="20"/>
      <c r="H18" s="68" t="s">
        <v>57</v>
      </c>
      <c r="I18" s="40">
        <f>Category_Breakdown!B6</f>
        <v>4</v>
      </c>
      <c r="J18" s="41">
        <f>Category_Breakdown!E6</f>
        <v>16233</v>
      </c>
      <c r="K18" s="72">
        <f>J18/SUM(Category_Breakdown!E2:E10)</f>
        <v>0.11836032344384574</v>
      </c>
    </row>
    <row r="19" spans="1:11" x14ac:dyDescent="0.55000000000000004">
      <c r="A19" s="84" t="s">
        <v>58</v>
      </c>
      <c r="B19" s="74"/>
      <c r="C19" s="62" t="s">
        <v>59</v>
      </c>
      <c r="D19" s="23">
        <f>Z_Optimization_Scenarios!C3</f>
        <v>112114</v>
      </c>
      <c r="E19" s="24">
        <f>Z_Optimization_Scenarios!D3/100</f>
        <v>0.183</v>
      </c>
      <c r="F19" s="64">
        <f>C4*(1-D19/Z_Optimization_Scenarios!C2)</f>
        <v>853.03172420141595</v>
      </c>
      <c r="G19" s="20"/>
      <c r="H19" s="67" t="s">
        <v>60</v>
      </c>
      <c r="I19" s="42">
        <f>Category_Breakdown!B7</f>
        <v>5</v>
      </c>
      <c r="J19" s="43">
        <f>Category_Breakdown!E7</f>
        <v>15564</v>
      </c>
      <c r="K19" s="73">
        <f>J19/SUM(Category_Breakdown!E2:E10)</f>
        <v>0.11348241693340819</v>
      </c>
    </row>
    <row r="20" spans="1:11" ht="14.7" thickBot="1" x14ac:dyDescent="0.6">
      <c r="A20" s="81">
        <v>10000</v>
      </c>
      <c r="B20" s="74"/>
      <c r="C20" s="61" t="s">
        <v>61</v>
      </c>
      <c r="D20" s="35">
        <f>Z_Optimization_Scenarios!C4</f>
        <v>95000</v>
      </c>
      <c r="E20" s="36">
        <f>Z_Optimization_Scenarios!D4/100</f>
        <v>0.307</v>
      </c>
      <c r="F20" s="65">
        <f>C4*(1-D20/Z_Optimization_Scenarios!C2)</f>
        <v>1436.1667323093864</v>
      </c>
      <c r="G20" s="20"/>
      <c r="H20" s="68" t="s">
        <v>62</v>
      </c>
      <c r="I20" s="40">
        <f>Category_Breakdown!B8</f>
        <v>3</v>
      </c>
      <c r="J20" s="41">
        <f>Category_Breakdown!E8</f>
        <v>9215</v>
      </c>
      <c r="K20" s="72">
        <f>J20/SUM(Category_Breakdown!E2:E10)</f>
        <v>6.7189698794741487E-2</v>
      </c>
    </row>
    <row r="21" spans="1:11" x14ac:dyDescent="0.55000000000000004">
      <c r="A21" s="84" t="s">
        <v>63</v>
      </c>
      <c r="B21" s="74"/>
      <c r="C21" s="62" t="s">
        <v>64</v>
      </c>
      <c r="D21" s="23">
        <f>Z_Optimization_Scenarios!C5</f>
        <v>85000</v>
      </c>
      <c r="E21" s="24">
        <f>Z_Optimization_Scenarios!D5/100</f>
        <v>0.38</v>
      </c>
      <c r="F21" s="64">
        <f>C4*(1-D21/Z_Optimization_Scenarios!C2)</f>
        <v>1776.9023920662933</v>
      </c>
      <c r="G21" s="20"/>
      <c r="H21" s="67" t="s">
        <v>65</v>
      </c>
      <c r="I21" s="42">
        <f>Category_Breakdown!B9</f>
        <v>2</v>
      </c>
      <c r="J21" s="43">
        <f>Category_Breakdown!E9</f>
        <v>6434</v>
      </c>
      <c r="K21" s="73">
        <f>J21/SUM(Category_Breakdown!E2:E10)</f>
        <v>4.6912482045075067E-2</v>
      </c>
    </row>
    <row r="22" spans="1:11" ht="14.7" thickBot="1" x14ac:dyDescent="0.6">
      <c r="A22" s="81">
        <v>2000</v>
      </c>
      <c r="B22" s="74"/>
      <c r="C22" s="96" t="s">
        <v>66</v>
      </c>
      <c r="D22" s="97">
        <f>Z_Optimization_Scenarios!C6</f>
        <v>65000</v>
      </c>
      <c r="E22" s="98">
        <f>Z_Optimization_Scenarios!D6/100</f>
        <v>0.52600000000000002</v>
      </c>
      <c r="F22" s="99">
        <f>C4*(1-D22/Z_Optimization_Scenarios!C2)</f>
        <v>2458.3737115801068</v>
      </c>
      <c r="G22" s="20"/>
      <c r="H22" s="68" t="s">
        <v>67</v>
      </c>
      <c r="I22" s="40">
        <f>Category_Breakdown!B10</f>
        <v>2</v>
      </c>
      <c r="J22" s="41">
        <f>Category_Breakdown!E10</f>
        <v>5686</v>
      </c>
      <c r="K22" s="72">
        <f>J22/SUM(Category_Breakdown!E2:E10)</f>
        <v>4.1458559668681505E-2</v>
      </c>
    </row>
    <row r="23" spans="1:11" ht="15" customHeight="1" x14ac:dyDescent="0.55000000000000004">
      <c r="A23" s="84" t="s">
        <v>68</v>
      </c>
      <c r="B23" s="74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5" customHeight="1" thickBot="1" x14ac:dyDescent="0.6">
      <c r="A24" s="83">
        <v>0.3</v>
      </c>
      <c r="B24" s="74"/>
      <c r="C24" s="20"/>
      <c r="D24" s="20"/>
      <c r="E24" s="20"/>
      <c r="F24" s="20"/>
      <c r="G24" s="20"/>
      <c r="H24" s="20"/>
      <c r="I24" s="20"/>
      <c r="J24" s="20"/>
      <c r="K24" s="20"/>
    </row>
    <row r="25" spans="1:11" x14ac:dyDescent="0.55000000000000004">
      <c r="A25" s="19"/>
      <c r="B25" s="74"/>
      <c r="C25" s="20"/>
      <c r="D25" s="20"/>
      <c r="E25" s="20"/>
      <c r="F25" s="20"/>
      <c r="G25" s="20"/>
      <c r="H25" s="20"/>
      <c r="I25" s="20"/>
      <c r="J25" s="20"/>
      <c r="K25" s="20"/>
    </row>
    <row r="26" spans="1:11" x14ac:dyDescent="0.55000000000000004">
      <c r="A26" s="19"/>
      <c r="B26" s="74"/>
      <c r="C26" s="20"/>
      <c r="D26" s="20"/>
      <c r="E26" s="20"/>
      <c r="F26" s="20"/>
      <c r="G26" s="20"/>
      <c r="H26" s="20"/>
      <c r="I26" s="20"/>
      <c r="J26" s="20"/>
      <c r="K26" s="20"/>
    </row>
    <row r="27" spans="1:11" x14ac:dyDescent="0.55000000000000004">
      <c r="A27" s="19"/>
      <c r="B27" s="74"/>
      <c r="C27" s="20"/>
      <c r="D27" s="20"/>
      <c r="E27" s="20"/>
      <c r="F27" s="20"/>
      <c r="G27" s="20"/>
      <c r="H27" s="20"/>
      <c r="I27" s="20"/>
      <c r="J27" s="20"/>
      <c r="K27" s="20"/>
    </row>
    <row r="28" spans="1:11" x14ac:dyDescent="0.55000000000000004">
      <c r="A28" s="19"/>
      <c r="B28" s="74"/>
      <c r="C28" s="20"/>
      <c r="D28" s="20"/>
      <c r="E28" s="20"/>
      <c r="F28" s="20"/>
      <c r="G28" s="20"/>
      <c r="H28" s="20"/>
      <c r="I28" s="20"/>
      <c r="J28" s="20"/>
      <c r="K28" s="20"/>
    </row>
    <row r="29" spans="1:11" x14ac:dyDescent="0.55000000000000004">
      <c r="A29" s="19"/>
      <c r="B29" s="74"/>
      <c r="C29" s="20"/>
      <c r="D29" s="20"/>
      <c r="E29" s="20"/>
      <c r="F29" s="20"/>
      <c r="G29" s="20"/>
      <c r="H29" s="20"/>
      <c r="I29" s="20"/>
      <c r="J29" s="20"/>
      <c r="K29" s="20"/>
    </row>
    <row r="30" spans="1:11" x14ac:dyDescent="0.55000000000000004">
      <c r="A30" s="19"/>
      <c r="B30" s="74"/>
      <c r="C30" s="20"/>
      <c r="D30" s="20"/>
      <c r="E30" s="20"/>
      <c r="F30" s="20"/>
      <c r="G30" s="20"/>
      <c r="H30" s="20"/>
      <c r="I30" s="20"/>
      <c r="J30" s="20"/>
      <c r="K30" s="20"/>
    </row>
    <row r="31" spans="1:11" x14ac:dyDescent="0.55000000000000004">
      <c r="A31" s="19"/>
      <c r="B31" s="74"/>
      <c r="C31" s="87"/>
      <c r="D31" s="20"/>
      <c r="E31" s="20"/>
      <c r="F31" s="20"/>
      <c r="G31" s="20"/>
      <c r="H31" s="20"/>
      <c r="I31" s="20"/>
      <c r="J31" s="20"/>
      <c r="K31" s="20"/>
    </row>
    <row r="32" spans="1:11" x14ac:dyDescent="0.55000000000000004">
      <c r="A32" s="19"/>
      <c r="B32" s="74"/>
      <c r="C32" s="20"/>
      <c r="D32" s="20"/>
      <c r="E32" s="20"/>
      <c r="F32" s="20"/>
      <c r="G32" s="20"/>
      <c r="H32" s="20"/>
      <c r="I32" s="20"/>
      <c r="J32" s="20"/>
      <c r="K32" s="20"/>
    </row>
    <row r="33" spans="1:15" x14ac:dyDescent="0.55000000000000004">
      <c r="A33" s="19"/>
      <c r="B33" s="74"/>
      <c r="C33" s="20"/>
      <c r="D33" s="20"/>
      <c r="E33" s="20"/>
      <c r="F33" s="20"/>
      <c r="G33" s="20"/>
      <c r="H33" s="20"/>
      <c r="I33" s="20"/>
      <c r="J33" s="20"/>
      <c r="K33" s="20"/>
    </row>
    <row r="34" spans="1:15" x14ac:dyDescent="0.55000000000000004">
      <c r="A34" s="19"/>
      <c r="B34" s="74"/>
      <c r="C34" s="20"/>
      <c r="D34" s="20"/>
      <c r="E34" s="20"/>
      <c r="F34" s="20"/>
      <c r="G34" s="20"/>
      <c r="H34" s="20"/>
      <c r="I34" s="20"/>
      <c r="J34" s="20"/>
      <c r="K34" s="20"/>
    </row>
    <row r="35" spans="1:15" x14ac:dyDescent="0.55000000000000004">
      <c r="A35" s="19"/>
      <c r="B35" s="74"/>
      <c r="C35" s="20"/>
      <c r="D35" s="20"/>
      <c r="E35" s="20"/>
      <c r="F35" s="20"/>
      <c r="G35" s="20"/>
      <c r="H35" s="20"/>
      <c r="I35" s="20"/>
      <c r="J35" s="20"/>
      <c r="K35" s="20"/>
    </row>
    <row r="36" spans="1:15" x14ac:dyDescent="0.55000000000000004">
      <c r="A36" s="19"/>
      <c r="B36" s="74"/>
      <c r="C36" s="20"/>
      <c r="D36" s="20"/>
      <c r="E36" s="20"/>
      <c r="F36" s="20"/>
      <c r="G36" s="20"/>
      <c r="H36" s="20"/>
      <c r="I36" s="20"/>
      <c r="J36" s="20"/>
      <c r="K36" s="20"/>
    </row>
    <row r="37" spans="1:15" x14ac:dyDescent="0.55000000000000004">
      <c r="A37" s="19"/>
      <c r="B37" s="74"/>
      <c r="C37" s="20"/>
      <c r="D37" s="20"/>
      <c r="E37" s="20"/>
      <c r="F37" s="20"/>
      <c r="G37" s="20"/>
      <c r="H37" s="20"/>
      <c r="I37" s="20"/>
      <c r="J37" s="20"/>
      <c r="K37" s="20"/>
    </row>
    <row r="38" spans="1:15" x14ac:dyDescent="0.55000000000000004">
      <c r="A38" s="19"/>
      <c r="B38" s="74"/>
      <c r="C38" s="20"/>
      <c r="D38" s="20"/>
      <c r="E38" s="20"/>
      <c r="F38" s="20"/>
      <c r="G38" s="20"/>
      <c r="H38" s="20"/>
      <c r="I38" s="20"/>
      <c r="J38" s="20"/>
      <c r="K38" s="20"/>
    </row>
    <row r="39" spans="1:15" x14ac:dyDescent="0.55000000000000004">
      <c r="A39" s="19"/>
      <c r="B39" s="74"/>
      <c r="C39" s="20"/>
      <c r="D39" s="20"/>
      <c r="E39" s="20"/>
      <c r="F39" s="20"/>
      <c r="G39" s="20"/>
      <c r="H39" s="20"/>
      <c r="I39" s="20"/>
      <c r="J39" s="20"/>
      <c r="K39" s="20"/>
    </row>
    <row r="41" spans="1:15" ht="18.3" x14ac:dyDescent="0.7">
      <c r="C41" s="271" t="s">
        <v>69</v>
      </c>
      <c r="D41" s="271"/>
      <c r="E41" s="271"/>
      <c r="F41" s="271"/>
      <c r="G41" s="271"/>
      <c r="H41" s="271"/>
      <c r="I41" s="271"/>
      <c r="J41" s="271"/>
      <c r="K41" s="271"/>
      <c r="L41" s="271"/>
      <c r="M41" s="271"/>
      <c r="N41" s="271"/>
      <c r="O41" s="271"/>
    </row>
    <row r="42" spans="1:15" ht="15.6" x14ac:dyDescent="0.6">
      <c r="C42" s="278" t="s">
        <v>70</v>
      </c>
      <c r="D42" s="278"/>
      <c r="E42" s="278"/>
      <c r="F42" s="278"/>
      <c r="G42" s="278"/>
      <c r="H42" s="278"/>
      <c r="I42" s="278"/>
      <c r="J42" s="278"/>
      <c r="K42" s="278"/>
      <c r="L42" s="278"/>
      <c r="M42" s="278"/>
      <c r="N42" s="278"/>
      <c r="O42" s="278"/>
    </row>
    <row r="43" spans="1:15" x14ac:dyDescent="0.55000000000000004">
      <c r="C43" s="88" t="s">
        <v>5</v>
      </c>
      <c r="D43" s="88" t="s">
        <v>71</v>
      </c>
      <c r="E43" s="88" t="s">
        <v>72</v>
      </c>
      <c r="F43" s="88" t="s">
        <v>73</v>
      </c>
      <c r="G43" s="88" t="s">
        <v>74</v>
      </c>
      <c r="H43" s="88" t="s">
        <v>75</v>
      </c>
      <c r="I43" s="88" t="s">
        <v>76</v>
      </c>
      <c r="J43" s="88" t="s">
        <v>77</v>
      </c>
      <c r="K43" s="88" t="s">
        <v>78</v>
      </c>
      <c r="L43" s="88" t="s">
        <v>79</v>
      </c>
      <c r="M43" s="88" t="s">
        <v>80</v>
      </c>
      <c r="N43" s="88" t="s">
        <v>81</v>
      </c>
      <c r="O43" s="91" t="s">
        <v>82</v>
      </c>
    </row>
    <row r="44" spans="1:15" x14ac:dyDescent="0.55000000000000004">
      <c r="C44" s="86" t="str">
        <f t="shared" ref="C44:C51" si="1">H3</f>
        <v>Claude Haiku 4.5</v>
      </c>
      <c r="D44" s="89">
        <f>K3*1</f>
        <v>1557.7184999999999</v>
      </c>
      <c r="E44" s="89">
        <f t="shared" ref="E44:E51" si="2">K3*2</f>
        <v>3115.4369999999999</v>
      </c>
      <c r="F44" s="89">
        <f t="shared" ref="F44:F51" si="3">K3*3</f>
        <v>4673.1554999999998</v>
      </c>
      <c r="G44" s="89">
        <f t="shared" ref="G44:G51" si="4">K3*4</f>
        <v>6230.8739999999998</v>
      </c>
      <c r="H44" s="89">
        <f t="shared" ref="H44:H51" si="5">K3*5</f>
        <v>7788.5924999999997</v>
      </c>
      <c r="I44" s="89">
        <f t="shared" ref="I44:I51" si="6">K3*6</f>
        <v>9346.3109999999997</v>
      </c>
      <c r="J44" s="89">
        <f t="shared" ref="J44:J51" si="7">K3*7</f>
        <v>10904.029500000001</v>
      </c>
      <c r="K44" s="89">
        <f t="shared" ref="K44:K51" si="8">K3*8</f>
        <v>12461.748</v>
      </c>
      <c r="L44" s="89">
        <f t="shared" ref="L44:L51" si="9">K3*9</f>
        <v>14019.466499999999</v>
      </c>
      <c r="M44" s="89">
        <f t="shared" ref="M44:M51" si="10">K3*10</f>
        <v>15577.184999999999</v>
      </c>
      <c r="N44" s="89">
        <f t="shared" ref="N44:N51" si="11">K3*11</f>
        <v>17134.9035</v>
      </c>
      <c r="O44" s="92">
        <f t="shared" ref="O44:O51" si="12">K3*12</f>
        <v>18692.621999999999</v>
      </c>
    </row>
    <row r="45" spans="1:15" x14ac:dyDescent="0.55000000000000004">
      <c r="C45" s="10" t="str">
        <f t="shared" si="1"/>
        <v>Claude Sonnet 4.6</v>
      </c>
      <c r="D45" s="90">
        <f t="shared" ref="D45:D51" si="13">K4*1</f>
        <v>4673.1555000000008</v>
      </c>
      <c r="E45" s="90">
        <f t="shared" si="2"/>
        <v>9346.3110000000015</v>
      </c>
      <c r="F45" s="90">
        <f t="shared" si="3"/>
        <v>14019.466500000002</v>
      </c>
      <c r="G45" s="90">
        <f t="shared" si="4"/>
        <v>18692.622000000003</v>
      </c>
      <c r="H45" s="90">
        <f t="shared" si="5"/>
        <v>23365.777500000004</v>
      </c>
      <c r="I45" s="90">
        <f t="shared" si="6"/>
        <v>28038.933000000005</v>
      </c>
      <c r="J45" s="90">
        <f t="shared" si="7"/>
        <v>32712.088500000005</v>
      </c>
      <c r="K45" s="90">
        <f t="shared" si="8"/>
        <v>37385.244000000006</v>
      </c>
      <c r="L45" s="90">
        <f t="shared" si="9"/>
        <v>42058.399500000007</v>
      </c>
      <c r="M45" s="90">
        <f t="shared" si="10"/>
        <v>46731.555000000008</v>
      </c>
      <c r="N45" s="90">
        <f t="shared" si="11"/>
        <v>51404.710500000008</v>
      </c>
      <c r="O45" s="92">
        <f t="shared" si="12"/>
        <v>56077.866000000009</v>
      </c>
    </row>
    <row r="46" spans="1:15" x14ac:dyDescent="0.55000000000000004">
      <c r="C46" s="86" t="str">
        <f t="shared" si="1"/>
        <v>Claude Opus 4.7</v>
      </c>
      <c r="D46" s="89">
        <f t="shared" si="13"/>
        <v>7788.5925000000007</v>
      </c>
      <c r="E46" s="89">
        <f t="shared" si="2"/>
        <v>15577.185000000001</v>
      </c>
      <c r="F46" s="89">
        <f t="shared" si="3"/>
        <v>23365.777500000004</v>
      </c>
      <c r="G46" s="89">
        <f t="shared" si="4"/>
        <v>31154.370000000003</v>
      </c>
      <c r="H46" s="89">
        <f t="shared" si="5"/>
        <v>38942.962500000001</v>
      </c>
      <c r="I46" s="89">
        <f t="shared" si="6"/>
        <v>46731.555000000008</v>
      </c>
      <c r="J46" s="89">
        <f t="shared" si="7"/>
        <v>54520.147500000006</v>
      </c>
      <c r="K46" s="89">
        <f t="shared" si="8"/>
        <v>62308.740000000005</v>
      </c>
      <c r="L46" s="89">
        <f t="shared" si="9"/>
        <v>70097.332500000004</v>
      </c>
      <c r="M46" s="89">
        <f t="shared" si="10"/>
        <v>77885.925000000003</v>
      </c>
      <c r="N46" s="89">
        <f t="shared" si="11"/>
        <v>85674.517500000002</v>
      </c>
      <c r="O46" s="92">
        <f t="shared" si="12"/>
        <v>93463.110000000015</v>
      </c>
    </row>
    <row r="47" spans="1:15" x14ac:dyDescent="0.55000000000000004">
      <c r="C47" s="10" t="str">
        <f t="shared" si="1"/>
        <v>Nova Micro</v>
      </c>
      <c r="D47" s="90">
        <f t="shared" si="13"/>
        <v>49.372960000000006</v>
      </c>
      <c r="E47" s="90">
        <f t="shared" si="2"/>
        <v>98.745920000000012</v>
      </c>
      <c r="F47" s="90">
        <f t="shared" si="3"/>
        <v>148.11888000000002</v>
      </c>
      <c r="G47" s="90">
        <f t="shared" si="4"/>
        <v>197.49184000000002</v>
      </c>
      <c r="H47" s="90">
        <f t="shared" si="5"/>
        <v>246.86480000000003</v>
      </c>
      <c r="I47" s="90">
        <f t="shared" si="6"/>
        <v>296.23776000000004</v>
      </c>
      <c r="J47" s="90">
        <f t="shared" si="7"/>
        <v>345.61072000000001</v>
      </c>
      <c r="K47" s="90">
        <f t="shared" si="8"/>
        <v>394.98368000000005</v>
      </c>
      <c r="L47" s="90">
        <f t="shared" si="9"/>
        <v>444.35664000000008</v>
      </c>
      <c r="M47" s="90">
        <f t="shared" si="10"/>
        <v>493.72960000000006</v>
      </c>
      <c r="N47" s="90">
        <f t="shared" si="11"/>
        <v>543.10256000000004</v>
      </c>
      <c r="O47" s="92">
        <f t="shared" si="12"/>
        <v>592.47552000000007</v>
      </c>
    </row>
    <row r="48" spans="1:15" x14ac:dyDescent="0.55000000000000004">
      <c r="C48" s="86" t="str">
        <f t="shared" si="1"/>
        <v>Nova Lite</v>
      </c>
      <c r="D48" s="89">
        <f t="shared" si="13"/>
        <v>84.639359999999996</v>
      </c>
      <c r="E48" s="89">
        <f t="shared" si="2"/>
        <v>169.27871999999999</v>
      </c>
      <c r="F48" s="89">
        <f t="shared" si="3"/>
        <v>253.91807999999997</v>
      </c>
      <c r="G48" s="89">
        <f t="shared" si="4"/>
        <v>338.55743999999999</v>
      </c>
      <c r="H48" s="89">
        <f t="shared" si="5"/>
        <v>423.1968</v>
      </c>
      <c r="I48" s="89">
        <f t="shared" si="6"/>
        <v>507.83615999999995</v>
      </c>
      <c r="J48" s="89">
        <f t="shared" si="7"/>
        <v>592.47551999999996</v>
      </c>
      <c r="K48" s="89">
        <f t="shared" si="8"/>
        <v>677.11487999999997</v>
      </c>
      <c r="L48" s="89">
        <f t="shared" si="9"/>
        <v>761.75423999999998</v>
      </c>
      <c r="M48" s="89">
        <f t="shared" si="10"/>
        <v>846.39359999999999</v>
      </c>
      <c r="N48" s="89">
        <f t="shared" si="11"/>
        <v>931.03296</v>
      </c>
      <c r="O48" s="92">
        <f t="shared" si="12"/>
        <v>1015.6723199999999</v>
      </c>
    </row>
    <row r="49" spans="3:15" x14ac:dyDescent="0.55000000000000004">
      <c r="C49" s="10" t="str">
        <f t="shared" si="1"/>
        <v>Nova Pro</v>
      </c>
      <c r="D49" s="90">
        <f t="shared" si="13"/>
        <v>1128.5248000000001</v>
      </c>
      <c r="E49" s="90">
        <f t="shared" si="2"/>
        <v>2257.0496000000003</v>
      </c>
      <c r="F49" s="90">
        <f t="shared" si="3"/>
        <v>3385.5744000000004</v>
      </c>
      <c r="G49" s="90">
        <f t="shared" si="4"/>
        <v>4514.0992000000006</v>
      </c>
      <c r="H49" s="90">
        <f t="shared" si="5"/>
        <v>5642.6240000000007</v>
      </c>
      <c r="I49" s="90">
        <f t="shared" si="6"/>
        <v>6771.1488000000008</v>
      </c>
      <c r="J49" s="90">
        <f t="shared" si="7"/>
        <v>7899.673600000001</v>
      </c>
      <c r="K49" s="90">
        <f t="shared" si="8"/>
        <v>9028.1984000000011</v>
      </c>
      <c r="L49" s="90">
        <f t="shared" si="9"/>
        <v>10156.7232</v>
      </c>
      <c r="M49" s="90">
        <f t="shared" si="10"/>
        <v>11285.248000000001</v>
      </c>
      <c r="N49" s="90">
        <f t="shared" si="11"/>
        <v>12413.772800000002</v>
      </c>
      <c r="O49" s="92">
        <f t="shared" si="12"/>
        <v>13542.297600000002</v>
      </c>
    </row>
    <row r="50" spans="3:15" x14ac:dyDescent="0.55000000000000004">
      <c r="C50" s="86" t="str">
        <f t="shared" si="1"/>
        <v>Nova Premier</v>
      </c>
      <c r="D50" s="89">
        <f t="shared" si="13"/>
        <v>3894.2962500000003</v>
      </c>
      <c r="E50" s="89">
        <f t="shared" si="2"/>
        <v>7788.5925000000007</v>
      </c>
      <c r="F50" s="89">
        <f t="shared" si="3"/>
        <v>11682.888750000002</v>
      </c>
      <c r="G50" s="89">
        <f t="shared" si="4"/>
        <v>15577.185000000001</v>
      </c>
      <c r="H50" s="89">
        <f t="shared" si="5"/>
        <v>19471.481250000001</v>
      </c>
      <c r="I50" s="89">
        <f t="shared" si="6"/>
        <v>23365.777500000004</v>
      </c>
      <c r="J50" s="89">
        <f t="shared" si="7"/>
        <v>27260.073750000003</v>
      </c>
      <c r="K50" s="89">
        <f t="shared" si="8"/>
        <v>31154.370000000003</v>
      </c>
      <c r="L50" s="89">
        <f t="shared" si="9"/>
        <v>35048.666250000002</v>
      </c>
      <c r="M50" s="89">
        <f t="shared" si="10"/>
        <v>38942.962500000001</v>
      </c>
      <c r="N50" s="89">
        <f t="shared" si="11"/>
        <v>42837.258750000001</v>
      </c>
      <c r="O50" s="92">
        <f t="shared" si="12"/>
        <v>46731.555000000008</v>
      </c>
    </row>
    <row r="51" spans="3:15" x14ac:dyDescent="0.55000000000000004">
      <c r="C51" s="10" t="str">
        <f t="shared" si="1"/>
        <v>Llama 3.3 70B</v>
      </c>
      <c r="D51" s="90">
        <f t="shared" si="13"/>
        <v>698.01732000000004</v>
      </c>
      <c r="E51" s="90">
        <f t="shared" si="2"/>
        <v>1396.0346400000001</v>
      </c>
      <c r="F51" s="90">
        <f t="shared" si="3"/>
        <v>2094.0519600000002</v>
      </c>
      <c r="G51" s="90">
        <f t="shared" si="4"/>
        <v>2792.0692800000002</v>
      </c>
      <c r="H51" s="90">
        <f t="shared" si="5"/>
        <v>3490.0866000000001</v>
      </c>
      <c r="I51" s="90">
        <f t="shared" si="6"/>
        <v>4188.1039200000005</v>
      </c>
      <c r="J51" s="90">
        <f t="shared" si="7"/>
        <v>4886.1212400000004</v>
      </c>
      <c r="K51" s="90">
        <f t="shared" si="8"/>
        <v>5584.1385600000003</v>
      </c>
      <c r="L51" s="90">
        <f t="shared" si="9"/>
        <v>6282.1558800000003</v>
      </c>
      <c r="M51" s="90">
        <f t="shared" si="10"/>
        <v>6980.1732000000002</v>
      </c>
      <c r="N51" s="90">
        <f t="shared" si="11"/>
        <v>7678.1905200000001</v>
      </c>
      <c r="O51" s="92">
        <f t="shared" si="12"/>
        <v>8376.2078400000009</v>
      </c>
    </row>
    <row r="52" spans="3:15" x14ac:dyDescent="0.55000000000000004">
      <c r="L52"/>
    </row>
    <row r="53" spans="3:15" x14ac:dyDescent="0.55000000000000004">
      <c r="L53"/>
    </row>
    <row r="54" spans="3:15" x14ac:dyDescent="0.55000000000000004">
      <c r="L54"/>
    </row>
    <row r="55" spans="3:15" x14ac:dyDescent="0.55000000000000004">
      <c r="L55"/>
    </row>
    <row r="56" spans="3:15" x14ac:dyDescent="0.55000000000000004">
      <c r="L56"/>
    </row>
    <row r="57" spans="3:15" x14ac:dyDescent="0.55000000000000004">
      <c r="L57"/>
    </row>
    <row r="58" spans="3:15" x14ac:dyDescent="0.55000000000000004">
      <c r="L58"/>
    </row>
    <row r="59" spans="3:15" x14ac:dyDescent="0.55000000000000004">
      <c r="L59"/>
    </row>
    <row r="60" spans="3:15" x14ac:dyDescent="0.55000000000000004">
      <c r="L60"/>
    </row>
    <row r="61" spans="3:15" x14ac:dyDescent="0.55000000000000004">
      <c r="L61"/>
    </row>
    <row r="62" spans="3:15" x14ac:dyDescent="0.55000000000000004">
      <c r="L62"/>
    </row>
    <row r="63" spans="3:15" x14ac:dyDescent="0.55000000000000004">
      <c r="L63"/>
    </row>
    <row r="64" spans="3:15" x14ac:dyDescent="0.55000000000000004">
      <c r="L64"/>
    </row>
    <row r="65" spans="12:12" x14ac:dyDescent="0.55000000000000004">
      <c r="L65"/>
    </row>
    <row r="66" spans="12:12" x14ac:dyDescent="0.55000000000000004">
      <c r="L66"/>
    </row>
    <row r="67" spans="12:12" x14ac:dyDescent="0.55000000000000004">
      <c r="L67"/>
    </row>
    <row r="68" spans="12:12" x14ac:dyDescent="0.55000000000000004">
      <c r="L68"/>
    </row>
    <row r="69" spans="12:12" x14ac:dyDescent="0.55000000000000004">
      <c r="L69"/>
    </row>
    <row r="70" spans="12:12" x14ac:dyDescent="0.55000000000000004">
      <c r="L70"/>
    </row>
    <row r="71" spans="12:12" x14ac:dyDescent="0.55000000000000004">
      <c r="L71"/>
    </row>
    <row r="72" spans="12:12" x14ac:dyDescent="0.55000000000000004">
      <c r="L72"/>
    </row>
    <row r="73" spans="12:12" x14ac:dyDescent="0.55000000000000004">
      <c r="L73"/>
    </row>
    <row r="74" spans="12:12" x14ac:dyDescent="0.55000000000000004">
      <c r="L74"/>
    </row>
    <row r="75" spans="12:12" x14ac:dyDescent="0.55000000000000004">
      <c r="L75"/>
    </row>
    <row r="76" spans="12:12" x14ac:dyDescent="0.55000000000000004">
      <c r="L76"/>
    </row>
    <row r="77" spans="12:12" x14ac:dyDescent="0.55000000000000004">
      <c r="L77"/>
    </row>
    <row r="78" spans="12:12" x14ac:dyDescent="0.55000000000000004">
      <c r="L78"/>
    </row>
    <row r="79" spans="12:12" x14ac:dyDescent="0.55000000000000004">
      <c r="L79"/>
    </row>
    <row r="80" spans="12:12" x14ac:dyDescent="0.55000000000000004">
      <c r="L80"/>
    </row>
    <row r="81" spans="12:12" x14ac:dyDescent="0.55000000000000004">
      <c r="L81"/>
    </row>
  </sheetData>
  <mergeCells count="15">
    <mergeCell ref="C42:O42"/>
    <mergeCell ref="E11:F11"/>
    <mergeCell ref="E12:F12"/>
    <mergeCell ref="E13:F13"/>
    <mergeCell ref="E14:F14"/>
    <mergeCell ref="C9:F9"/>
    <mergeCell ref="C41:O41"/>
    <mergeCell ref="M1:O1"/>
    <mergeCell ref="M2:O2"/>
    <mergeCell ref="N3:O3"/>
    <mergeCell ref="E10:F10"/>
    <mergeCell ref="C1:F1"/>
    <mergeCell ref="H1:K1"/>
    <mergeCell ref="H12:K12"/>
    <mergeCell ref="C16:F16"/>
  </mergeCells>
  <conditionalFormatting sqref="H3:H10">
    <cfRule type="expression" dxfId="3" priority="1">
      <formula>H3=$A$4</formula>
    </cfRule>
  </conditionalFormatting>
  <conditionalFormatting sqref="H3:K10">
    <cfRule type="expression" dxfId="2" priority="2">
      <formula>$H3=$A$4</formula>
    </cfRule>
  </conditionalFormatting>
  <dataValidations count="1">
    <dataValidation type="list" allowBlank="1" showInputMessage="1" showErrorMessage="1" sqref="A4" xr:uid="{9ACEB5AF-F433-48F8-98B7-FEE3AD8BA49E}">
      <formula1>"Claude Haiku 4.5,Claude Sonnet 4.6,Claude Opus 4.7,Nova Micro,Nova Lite,Nova Pro,Nova Premier,Llama 3.3 70B,Llama 3.1 405B,Mistral Large,Command R+,gpt-oss-120B,gpt-oss-20B,Gemma 3 4B,Gemma 3 12B,Gemma 3 27B"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1D37-8D44-4E44-B0D6-247783598369}">
  <sheetPr>
    <tabColor rgb="FFFFFF00"/>
  </sheetPr>
  <dimension ref="A1:AF58"/>
  <sheetViews>
    <sheetView tabSelected="1" zoomScale="85" zoomScaleNormal="85" workbookViewId="0">
      <pane xSplit="1" topLeftCell="B1" activePane="topRight" state="frozen"/>
      <selection activeCell="I30" sqref="I30"/>
      <selection pane="topRight" activeCell="H19" sqref="H18:H19"/>
    </sheetView>
  </sheetViews>
  <sheetFormatPr defaultRowHeight="14.4" x14ac:dyDescent="0.55000000000000004"/>
  <cols>
    <col min="1" max="1" width="1.41796875" customWidth="1"/>
    <col min="2" max="2" width="20.3125" bestFit="1" customWidth="1"/>
    <col min="3" max="3" width="18.7890625" customWidth="1"/>
    <col min="4" max="4" width="25.7890625" bestFit="1" customWidth="1"/>
    <col min="5" max="5" width="18.7890625" customWidth="1"/>
    <col min="6" max="6" width="12.26171875" customWidth="1"/>
    <col min="7" max="8" width="15.83984375" customWidth="1"/>
    <col min="9" max="10" width="19.3125" customWidth="1"/>
    <col min="11" max="11" width="25.05078125" bestFit="1" customWidth="1"/>
    <col min="12" max="12" width="19.3125" style="3" customWidth="1"/>
    <col min="13" max="14" width="19.3125" customWidth="1"/>
    <col min="15" max="15" width="13.1015625" customWidth="1"/>
    <col min="16" max="16" width="13.1015625" hidden="1" customWidth="1"/>
    <col min="17" max="17" width="32.41796875" hidden="1" customWidth="1"/>
    <col min="18" max="20" width="14" hidden="1" customWidth="1"/>
    <col min="21" max="21" width="16.734375" hidden="1" customWidth="1"/>
    <col min="22" max="23" width="15.83984375" customWidth="1"/>
    <col min="24" max="24" width="17.578125" customWidth="1"/>
    <col min="25" max="26" width="15.83984375" customWidth="1"/>
    <col min="27" max="27" width="14.83984375" customWidth="1"/>
    <col min="28" max="32" width="14.83984375" hidden="1" customWidth="1"/>
    <col min="33" max="36" width="0" hidden="1" customWidth="1"/>
  </cols>
  <sheetData>
    <row r="1" spans="1:21" ht="30" customHeight="1" x14ac:dyDescent="0.55000000000000004">
      <c r="B1" s="242" t="s">
        <v>83</v>
      </c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4"/>
    </row>
    <row r="2" spans="1:21" x14ac:dyDescent="0.55000000000000004">
      <c r="B2" s="245" t="s">
        <v>84</v>
      </c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7"/>
    </row>
    <row r="3" spans="1:21" ht="25" customHeight="1" x14ac:dyDescent="0.55000000000000004">
      <c r="B3" s="248" t="s">
        <v>85</v>
      </c>
      <c r="C3" s="249"/>
      <c r="E3" s="250" t="s">
        <v>86</v>
      </c>
      <c r="F3" s="249"/>
      <c r="H3" s="251" t="s">
        <v>87</v>
      </c>
      <c r="I3" s="252"/>
      <c r="J3" s="252"/>
      <c r="K3" s="252"/>
      <c r="L3" s="252"/>
      <c r="M3" s="252"/>
      <c r="N3" s="253"/>
    </row>
    <row r="4" spans="1:21" ht="25" customHeight="1" thickBot="1" x14ac:dyDescent="0.65">
      <c r="B4" s="254" t="s">
        <v>88</v>
      </c>
      <c r="C4" s="255"/>
      <c r="D4" s="209"/>
      <c r="E4" s="256" t="s">
        <v>24</v>
      </c>
      <c r="F4" s="255"/>
      <c r="G4" s="209"/>
      <c r="H4" s="211" t="s">
        <v>89</v>
      </c>
      <c r="I4" s="211" t="s">
        <v>90</v>
      </c>
      <c r="J4" s="211" t="s">
        <v>91</v>
      </c>
      <c r="K4" s="211" t="s">
        <v>90</v>
      </c>
      <c r="L4" s="212" t="s">
        <v>53</v>
      </c>
      <c r="M4" s="211" t="s">
        <v>92</v>
      </c>
      <c r="N4" s="210" t="s">
        <v>93</v>
      </c>
    </row>
    <row r="5" spans="1:21" ht="35.1" customHeight="1" thickTop="1" thickBot="1" x14ac:dyDescent="0.8">
      <c r="B5" s="208"/>
      <c r="C5" s="207"/>
      <c r="D5" s="207"/>
      <c r="E5" s="207"/>
      <c r="F5" s="207"/>
      <c r="G5" s="207"/>
      <c r="H5" s="217">
        <f>VLOOKUP(B4,B15:G20,6,FALSE)</f>
        <v>2472.1260000000002</v>
      </c>
      <c r="I5" s="218">
        <f>H5*12</f>
        <v>29665.512000000002</v>
      </c>
      <c r="J5" s="219">
        <f>VLOOKUP(E4,I15:M22,5,FALSE)</f>
        <v>114.66787500000001</v>
      </c>
      <c r="K5" s="220">
        <f>J5*12</f>
        <v>1376.0145000000002</v>
      </c>
      <c r="L5" s="221">
        <f>H5-J5</f>
        <v>2357.4581250000001</v>
      </c>
      <c r="M5" s="222">
        <f>IF(H5&gt;0,(H5-J5)/H5,0)</f>
        <v>0.95361568342390313</v>
      </c>
      <c r="N5" s="223" t="str">
        <f>IF(H5&gt;J5,"ON-DEMAND","HOSTED")</f>
        <v>ON-DEMAND</v>
      </c>
    </row>
    <row r="6" spans="1:21" ht="35.1" customHeight="1" x14ac:dyDescent="0.7">
      <c r="A6" s="74"/>
      <c r="B6" s="263" t="s">
        <v>94</v>
      </c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P6" t="s">
        <v>5</v>
      </c>
      <c r="Q6" t="s">
        <v>32</v>
      </c>
      <c r="T6" t="s">
        <v>5</v>
      </c>
      <c r="U6" t="s">
        <v>95</v>
      </c>
    </row>
    <row r="7" spans="1:21" ht="22" customHeight="1" x14ac:dyDescent="0.6">
      <c r="A7" s="74"/>
      <c r="B7" s="265" t="s">
        <v>96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P7" t="s">
        <v>30</v>
      </c>
      <c r="Q7" s="8">
        <f>C44</f>
        <v>9772.1124999999993</v>
      </c>
      <c r="R7" t="s">
        <v>97</v>
      </c>
      <c r="T7" t="s">
        <v>30</v>
      </c>
      <c r="U7" s="8">
        <f>M18</f>
        <v>9772.1124999999993</v>
      </c>
    </row>
    <row r="8" spans="1:21" ht="12" customHeight="1" x14ac:dyDescent="0.55000000000000004">
      <c r="A8" s="74"/>
      <c r="L8"/>
      <c r="P8" t="s">
        <v>98</v>
      </c>
      <c r="Q8" s="8">
        <f>C42</f>
        <v>2472.1260000000002</v>
      </c>
      <c r="R8" t="s">
        <v>99</v>
      </c>
      <c r="T8" t="s">
        <v>98</v>
      </c>
      <c r="U8" s="8">
        <f>G20</f>
        <v>6192.5100000000011</v>
      </c>
    </row>
    <row r="9" spans="1:21" x14ac:dyDescent="0.55000000000000004">
      <c r="A9" s="74"/>
      <c r="B9" s="267" t="s">
        <v>100</v>
      </c>
      <c r="C9" s="268"/>
      <c r="D9" s="268"/>
      <c r="E9" s="268"/>
      <c r="L9"/>
      <c r="P9" t="s">
        <v>15</v>
      </c>
      <c r="Q9" s="8">
        <f>C45</f>
        <v>3908.8450000000003</v>
      </c>
      <c r="R9" t="s">
        <v>99</v>
      </c>
      <c r="T9" t="s">
        <v>15</v>
      </c>
      <c r="U9" s="8">
        <f>M20</f>
        <v>3908.8450000000003</v>
      </c>
    </row>
    <row r="10" spans="1:21" x14ac:dyDescent="0.55000000000000004">
      <c r="A10" s="74"/>
      <c r="B10" s="161" t="s">
        <v>39</v>
      </c>
      <c r="C10" s="161" t="s">
        <v>101</v>
      </c>
      <c r="D10" s="161" t="s">
        <v>35</v>
      </c>
      <c r="E10" s="161" t="s">
        <v>37</v>
      </c>
      <c r="L10"/>
      <c r="P10" t="s">
        <v>27</v>
      </c>
      <c r="Q10" s="8">
        <f>C46</f>
        <v>2620.9800000000005</v>
      </c>
      <c r="R10" t="s">
        <v>102</v>
      </c>
      <c r="T10" t="s">
        <v>27</v>
      </c>
      <c r="U10" s="8">
        <f>M17</f>
        <v>2620.9800000000005</v>
      </c>
    </row>
    <row r="11" spans="1:21" ht="18.3" x14ac:dyDescent="0.7">
      <c r="A11" s="74"/>
      <c r="B11" s="162">
        <f>Pricing_Calculator!A14</f>
        <v>5000</v>
      </c>
      <c r="C11" s="162">
        <f>Pricing_Calculator!F4</f>
        <v>149149</v>
      </c>
      <c r="D11" s="162">
        <f>Pricing_Calculator!C7</f>
        <v>126524</v>
      </c>
      <c r="E11" s="162">
        <f>Pricing_Calculator!D7</f>
        <v>22625</v>
      </c>
      <c r="L11"/>
      <c r="P11" t="s">
        <v>103</v>
      </c>
      <c r="Q11" s="8">
        <f>C43</f>
        <v>114.66787500000001</v>
      </c>
      <c r="R11" t="s">
        <v>102</v>
      </c>
      <c r="T11" t="s">
        <v>103</v>
      </c>
      <c r="U11" s="8">
        <f>G15</f>
        <v>2472.1260000000002</v>
      </c>
    </row>
    <row r="12" spans="1:21" x14ac:dyDescent="0.55000000000000004">
      <c r="A12" s="74"/>
      <c r="L12"/>
      <c r="P12" t="s">
        <v>34</v>
      </c>
      <c r="Q12" s="8">
        <f>C47</f>
        <v>992.42280000000005</v>
      </c>
      <c r="R12" t="s">
        <v>102</v>
      </c>
      <c r="T12" t="s">
        <v>34</v>
      </c>
      <c r="U12" s="8">
        <f>M19</f>
        <v>992.42280000000005</v>
      </c>
    </row>
    <row r="13" spans="1:21" x14ac:dyDescent="0.55000000000000004">
      <c r="A13" s="74"/>
      <c r="B13" s="267" t="s">
        <v>104</v>
      </c>
      <c r="C13" s="268"/>
      <c r="D13" s="268"/>
      <c r="E13" s="268"/>
      <c r="F13" s="268"/>
      <c r="G13" s="268"/>
      <c r="I13" s="267" t="s">
        <v>105</v>
      </c>
      <c r="J13" s="268"/>
      <c r="K13" s="268"/>
      <c r="L13" s="268"/>
      <c r="M13" s="268"/>
      <c r="N13" s="268"/>
      <c r="P13" t="s">
        <v>26</v>
      </c>
      <c r="Q13" s="8">
        <f>C48</f>
        <v>196.57349999999997</v>
      </c>
      <c r="R13" t="s">
        <v>102</v>
      </c>
      <c r="T13" t="s">
        <v>26</v>
      </c>
      <c r="U13" s="8">
        <f>M16</f>
        <v>196.57349999999997</v>
      </c>
    </row>
    <row r="14" spans="1:21" x14ac:dyDescent="0.55000000000000004">
      <c r="A14" s="74"/>
      <c r="B14" s="141" t="s">
        <v>5</v>
      </c>
      <c r="C14" s="140" t="s">
        <v>106</v>
      </c>
      <c r="D14" s="140" t="s">
        <v>107</v>
      </c>
      <c r="E14" s="140" t="s">
        <v>108</v>
      </c>
      <c r="F14" s="140" t="s">
        <v>109</v>
      </c>
      <c r="G14" s="173" t="s">
        <v>32</v>
      </c>
      <c r="I14" s="141" t="s">
        <v>5</v>
      </c>
      <c r="J14" s="140" t="s">
        <v>6</v>
      </c>
      <c r="K14" s="140" t="s">
        <v>7</v>
      </c>
      <c r="L14" s="140" t="s">
        <v>110</v>
      </c>
      <c r="M14" s="140" t="s">
        <v>32</v>
      </c>
      <c r="N14" s="173" t="s">
        <v>16</v>
      </c>
      <c r="P14" t="s">
        <v>24</v>
      </c>
      <c r="Q14" s="8">
        <f>C49</f>
        <v>114.66787500000001</v>
      </c>
      <c r="R14" t="s">
        <v>102</v>
      </c>
      <c r="T14" t="s">
        <v>24</v>
      </c>
      <c r="U14" s="8">
        <f>M15</f>
        <v>114.66787500000001</v>
      </c>
    </row>
    <row r="15" spans="1:21" x14ac:dyDescent="0.55000000000000004">
      <c r="A15" s="74"/>
      <c r="B15" s="13" t="s">
        <v>88</v>
      </c>
      <c r="C15" s="163">
        <f>'AWS LLM Pricing'!B22</f>
        <v>5.7180000000000002E-2</v>
      </c>
      <c r="D15" s="164">
        <f>'AWS LLM Pricing'!C22</f>
        <v>1.95</v>
      </c>
      <c r="E15" s="12">
        <f t="shared" ref="E15:E20" si="0">C15*60</f>
        <v>3.4308000000000001</v>
      </c>
      <c r="F15" s="12">
        <f t="shared" ref="F15:F20" si="1">E15*24</f>
        <v>82.339200000000005</v>
      </c>
      <c r="G15" s="14">
        <f t="shared" ref="G15:G20" si="2">F15*30+D15</f>
        <v>2472.1260000000002</v>
      </c>
      <c r="I15" s="15" t="s">
        <v>24</v>
      </c>
      <c r="J15" s="240">
        <f>'AWS LLM Pricing'!D5</f>
        <v>3.5000000000000003E-2</v>
      </c>
      <c r="K15" s="240">
        <f>'AWS LLM Pricing'!E5</f>
        <v>0.14000000000000001</v>
      </c>
      <c r="L15" s="241">
        <f t="shared" ref="L15:L22" si="3">($C$11*J15+$D$11*K15)/1000000</f>
        <v>2.2933575000000001E-2</v>
      </c>
      <c r="M15" s="8">
        <f t="shared" ref="M15:M22" si="4">L15*$B$11</f>
        <v>114.66787500000001</v>
      </c>
      <c r="N15" s="107">
        <f t="shared" ref="N15:N22" si="5">M15*12</f>
        <v>1376.0145000000002</v>
      </c>
    </row>
    <row r="16" spans="1:21" x14ac:dyDescent="0.55000000000000004">
      <c r="A16" s="74"/>
      <c r="B16" s="171" t="s">
        <v>111</v>
      </c>
      <c r="C16" s="165">
        <f>'AWS LLM Pricing'!B23</f>
        <v>5.7180000000000002E-2</v>
      </c>
      <c r="D16" s="166">
        <f>'AWS LLM Pricing'!C23</f>
        <v>1.95</v>
      </c>
      <c r="E16" s="167">
        <f t="shared" si="0"/>
        <v>3.4308000000000001</v>
      </c>
      <c r="F16" s="167">
        <f t="shared" si="1"/>
        <v>82.339200000000005</v>
      </c>
      <c r="G16" s="174">
        <f t="shared" si="2"/>
        <v>2472.1260000000002</v>
      </c>
      <c r="I16" s="171" t="s">
        <v>26</v>
      </c>
      <c r="J16" s="166">
        <f>'AWS LLM Pricing'!D6</f>
        <v>0.06</v>
      </c>
      <c r="K16" s="166">
        <f>'AWS LLM Pricing'!E6</f>
        <v>0.24</v>
      </c>
      <c r="L16" s="177">
        <f t="shared" si="3"/>
        <v>3.9314699999999994E-2</v>
      </c>
      <c r="M16" s="167">
        <f t="shared" si="4"/>
        <v>196.57349999999997</v>
      </c>
      <c r="N16" s="174">
        <f t="shared" si="5"/>
        <v>2358.8819999999996</v>
      </c>
    </row>
    <row r="17" spans="1:19" x14ac:dyDescent="0.55000000000000004">
      <c r="A17" s="74"/>
      <c r="B17" s="13" t="s">
        <v>112</v>
      </c>
      <c r="C17" s="163">
        <f>'AWS LLM Pricing'!B24</f>
        <v>5.7180000000000002E-2</v>
      </c>
      <c r="D17" s="164">
        <f>'AWS LLM Pricing'!C24</f>
        <v>1.95</v>
      </c>
      <c r="E17" s="12">
        <f t="shared" si="0"/>
        <v>3.4308000000000001</v>
      </c>
      <c r="F17" s="12">
        <f t="shared" si="1"/>
        <v>82.339200000000005</v>
      </c>
      <c r="G17" s="14">
        <f t="shared" si="2"/>
        <v>2472.1260000000002</v>
      </c>
      <c r="I17" s="13" t="s">
        <v>27</v>
      </c>
      <c r="J17" s="164">
        <f>'AWS LLM Pricing'!D7</f>
        <v>0.8</v>
      </c>
      <c r="K17" s="164">
        <f>'AWS LLM Pricing'!E7</f>
        <v>3.2</v>
      </c>
      <c r="L17" s="176">
        <f t="shared" si="3"/>
        <v>0.52419600000000011</v>
      </c>
      <c r="M17" s="12">
        <f t="shared" si="4"/>
        <v>2620.9800000000005</v>
      </c>
      <c r="N17" s="14">
        <f t="shared" si="5"/>
        <v>31451.760000000006</v>
      </c>
      <c r="R17" t="s">
        <v>113</v>
      </c>
      <c r="S17" t="s">
        <v>114</v>
      </c>
    </row>
    <row r="18" spans="1:19" x14ac:dyDescent="0.55000000000000004">
      <c r="A18" s="74"/>
      <c r="B18" s="171" t="s">
        <v>115</v>
      </c>
      <c r="C18" s="165">
        <f>'AWS LLM Pricing'!B25</f>
        <v>5.7180000000000002E-2</v>
      </c>
      <c r="D18" s="166">
        <f>'AWS LLM Pricing'!C25</f>
        <v>1.95</v>
      </c>
      <c r="E18" s="167">
        <f t="shared" si="0"/>
        <v>3.4308000000000001</v>
      </c>
      <c r="F18" s="167">
        <f t="shared" si="1"/>
        <v>82.339200000000005</v>
      </c>
      <c r="G18" s="174">
        <f t="shared" si="2"/>
        <v>2472.1260000000002</v>
      </c>
      <c r="I18" s="171" t="s">
        <v>30</v>
      </c>
      <c r="J18" s="166">
        <f>'AWS LLM Pricing'!D8</f>
        <v>2.5</v>
      </c>
      <c r="K18" s="166">
        <f>'AWS LLM Pricing'!E8</f>
        <v>12.5</v>
      </c>
      <c r="L18" s="177">
        <f t="shared" si="3"/>
        <v>1.9544225</v>
      </c>
      <c r="M18" s="167">
        <f t="shared" si="4"/>
        <v>9772.1124999999993</v>
      </c>
      <c r="N18" s="174">
        <f t="shared" si="5"/>
        <v>117265.34999999999</v>
      </c>
      <c r="P18" s="9">
        <f t="shared" ref="P18:P27" si="6">I26</f>
        <v>1000</v>
      </c>
      <c r="Q18" s="8">
        <f t="shared" ref="Q18:Q27" si="7">J26</f>
        <v>2472.1260000000002</v>
      </c>
      <c r="R18" s="8">
        <f t="shared" ref="R18:R27" si="8">K26</f>
        <v>22.933575000000001</v>
      </c>
      <c r="S18" s="8">
        <f t="shared" ref="S18:S27" si="9">$G$15</f>
        <v>2472.1260000000002</v>
      </c>
    </row>
    <row r="19" spans="1:19" x14ac:dyDescent="0.55000000000000004">
      <c r="A19" s="74"/>
      <c r="B19" s="13" t="s">
        <v>116</v>
      </c>
      <c r="C19" s="163">
        <f>'AWS LLM Pricing'!B26</f>
        <v>5.7180000000000002E-2</v>
      </c>
      <c r="D19" s="164">
        <f>'AWS LLM Pricing'!C26</f>
        <v>1.95</v>
      </c>
      <c r="E19" s="12">
        <f t="shared" si="0"/>
        <v>3.4308000000000001</v>
      </c>
      <c r="F19" s="12">
        <f t="shared" si="1"/>
        <v>82.339200000000005</v>
      </c>
      <c r="G19" s="14">
        <f t="shared" si="2"/>
        <v>2472.1260000000002</v>
      </c>
      <c r="I19" s="13" t="s">
        <v>34</v>
      </c>
      <c r="J19" s="164">
        <f>'AWS LLM Pricing'!D9</f>
        <v>0.72</v>
      </c>
      <c r="K19" s="164">
        <f>'AWS LLM Pricing'!E9</f>
        <v>0.72</v>
      </c>
      <c r="L19" s="176">
        <f t="shared" si="3"/>
        <v>0.19848456</v>
      </c>
      <c r="M19" s="12">
        <f t="shared" si="4"/>
        <v>992.42280000000005</v>
      </c>
      <c r="N19" s="14">
        <f t="shared" si="5"/>
        <v>11909.0736</v>
      </c>
      <c r="P19" s="9">
        <f t="shared" si="6"/>
        <v>3000</v>
      </c>
      <c r="Q19" s="8">
        <f t="shared" si="7"/>
        <v>2472.1260000000002</v>
      </c>
      <c r="R19" s="8">
        <f t="shared" si="8"/>
        <v>68.800725</v>
      </c>
      <c r="S19" s="8">
        <f t="shared" si="9"/>
        <v>2472.1260000000002</v>
      </c>
    </row>
    <row r="20" spans="1:19" x14ac:dyDescent="0.55000000000000004">
      <c r="A20" s="74"/>
      <c r="B20" s="172" t="s">
        <v>117</v>
      </c>
      <c r="C20" s="168">
        <f>'AWS LLM Pricing'!B27</f>
        <v>0.14330000000000001</v>
      </c>
      <c r="D20" s="169">
        <f>'AWS LLM Pricing'!C27</f>
        <v>1.95</v>
      </c>
      <c r="E20" s="170">
        <f t="shared" si="0"/>
        <v>8.5980000000000008</v>
      </c>
      <c r="F20" s="170">
        <f t="shared" si="1"/>
        <v>206.35200000000003</v>
      </c>
      <c r="G20" s="175">
        <f t="shared" si="2"/>
        <v>6192.5100000000011</v>
      </c>
      <c r="I20" s="171" t="s">
        <v>15</v>
      </c>
      <c r="J20" s="166">
        <f>'AWS LLM Pricing'!D2</f>
        <v>1</v>
      </c>
      <c r="K20" s="166">
        <f>'AWS LLM Pricing'!E2</f>
        <v>5</v>
      </c>
      <c r="L20" s="177">
        <f t="shared" si="3"/>
        <v>0.78176900000000005</v>
      </c>
      <c r="M20" s="167">
        <f t="shared" si="4"/>
        <v>3908.8450000000003</v>
      </c>
      <c r="N20" s="174">
        <f t="shared" si="5"/>
        <v>46906.14</v>
      </c>
      <c r="P20" s="9">
        <f t="shared" si="6"/>
        <v>6000</v>
      </c>
      <c r="Q20" s="8">
        <f t="shared" si="7"/>
        <v>2472.1260000000002</v>
      </c>
      <c r="R20" s="8">
        <f t="shared" si="8"/>
        <v>137.60145</v>
      </c>
      <c r="S20" s="8">
        <f t="shared" si="9"/>
        <v>2472.1260000000002</v>
      </c>
    </row>
    <row r="21" spans="1:19" x14ac:dyDescent="0.55000000000000004">
      <c r="A21" s="74"/>
      <c r="I21" s="13" t="s">
        <v>17</v>
      </c>
      <c r="J21" s="164">
        <f>'AWS LLM Pricing'!D3</f>
        <v>3</v>
      </c>
      <c r="K21" s="164">
        <f>'AWS LLM Pricing'!E3</f>
        <v>15</v>
      </c>
      <c r="L21" s="176">
        <f t="shared" si="3"/>
        <v>2.345307</v>
      </c>
      <c r="M21" s="12">
        <f t="shared" si="4"/>
        <v>11726.535</v>
      </c>
      <c r="N21" s="14">
        <f t="shared" si="5"/>
        <v>140718.41999999998</v>
      </c>
      <c r="P21" s="9">
        <f t="shared" si="6"/>
        <v>10000</v>
      </c>
      <c r="Q21" s="8">
        <f t="shared" si="7"/>
        <v>2472.1260000000002</v>
      </c>
      <c r="R21" s="8">
        <f t="shared" si="8"/>
        <v>229.33575000000002</v>
      </c>
      <c r="S21" s="8">
        <f t="shared" si="9"/>
        <v>2472.1260000000002</v>
      </c>
    </row>
    <row r="22" spans="1:19" x14ac:dyDescent="0.55000000000000004">
      <c r="A22" s="74"/>
      <c r="I22" s="172" t="s">
        <v>18</v>
      </c>
      <c r="J22" s="169">
        <f>'AWS LLM Pricing'!D4</f>
        <v>5</v>
      </c>
      <c r="K22" s="169">
        <f>'AWS LLM Pricing'!E4</f>
        <v>25</v>
      </c>
      <c r="L22" s="178">
        <f t="shared" si="3"/>
        <v>3.9088449999999999</v>
      </c>
      <c r="M22" s="170">
        <f t="shared" si="4"/>
        <v>19544.224999999999</v>
      </c>
      <c r="N22" s="175">
        <f t="shared" si="5"/>
        <v>234530.69999999998</v>
      </c>
      <c r="P22" s="9">
        <f t="shared" si="6"/>
        <v>25000</v>
      </c>
      <c r="Q22" s="8">
        <f t="shared" si="7"/>
        <v>2472.1260000000002</v>
      </c>
      <c r="R22" s="8">
        <f t="shared" si="8"/>
        <v>573.33937500000002</v>
      </c>
      <c r="S22" s="8">
        <f t="shared" si="9"/>
        <v>2472.1260000000002</v>
      </c>
    </row>
    <row r="23" spans="1:19" x14ac:dyDescent="0.55000000000000004">
      <c r="A23" s="74"/>
      <c r="L23"/>
      <c r="P23" s="9">
        <f t="shared" si="6"/>
        <v>50000</v>
      </c>
      <c r="Q23" s="8">
        <f t="shared" si="7"/>
        <v>2472.1260000000002</v>
      </c>
      <c r="R23" s="8">
        <f t="shared" si="8"/>
        <v>1146.67875</v>
      </c>
      <c r="S23" s="8">
        <f t="shared" si="9"/>
        <v>2472.1260000000002</v>
      </c>
    </row>
    <row r="24" spans="1:19" ht="18.3" x14ac:dyDescent="0.7">
      <c r="A24" s="74"/>
      <c r="B24" s="269" t="s">
        <v>118</v>
      </c>
      <c r="C24" s="268"/>
      <c r="D24" s="268"/>
      <c r="E24" s="268"/>
      <c r="F24" s="268"/>
      <c r="G24" s="268"/>
      <c r="I24" s="269" t="s">
        <v>119</v>
      </c>
      <c r="J24" s="268"/>
      <c r="K24" s="268"/>
      <c r="L24" s="268"/>
      <c r="M24" s="268"/>
      <c r="N24" s="268"/>
      <c r="P24" s="9">
        <f t="shared" si="6"/>
        <v>100000</v>
      </c>
      <c r="Q24" s="8">
        <f t="shared" si="7"/>
        <v>2472.1260000000002</v>
      </c>
      <c r="R24" s="8">
        <f t="shared" si="8"/>
        <v>2293.3575000000001</v>
      </c>
      <c r="S24" s="8">
        <f t="shared" si="9"/>
        <v>2472.1260000000002</v>
      </c>
    </row>
    <row r="25" spans="1:19" x14ac:dyDescent="0.55000000000000004">
      <c r="A25" s="74"/>
      <c r="B25" s="192" t="s">
        <v>120</v>
      </c>
      <c r="C25" s="192" t="str">
        <f>"Hosted ("&amp;B4&amp;")"</f>
        <v>Hosted (Llama)</v>
      </c>
      <c r="D25" s="192" t="str">
        <f>"On-Demand ("&amp;E4&amp;")"</f>
        <v>On-Demand (Nova Micro)</v>
      </c>
      <c r="E25" s="192" t="s">
        <v>121</v>
      </c>
      <c r="F25" s="192" t="s">
        <v>92</v>
      </c>
      <c r="G25" s="192" t="s">
        <v>122</v>
      </c>
      <c r="I25" s="141" t="s">
        <v>123</v>
      </c>
      <c r="J25" s="140" t="str">
        <f>"Hosted "&amp;B4</f>
        <v>Hosted Llama</v>
      </c>
      <c r="K25" s="140" t="str">
        <f>"On-Demand "&amp;E4</f>
        <v>On-Demand Nova Micro</v>
      </c>
      <c r="L25" s="140" t="s">
        <v>124</v>
      </c>
      <c r="M25" s="140" t="s">
        <v>125</v>
      </c>
      <c r="N25" s="173" t="s">
        <v>92</v>
      </c>
      <c r="P25" s="9">
        <f t="shared" si="6"/>
        <v>200000</v>
      </c>
      <c r="Q25" s="8">
        <f t="shared" si="7"/>
        <v>2472.1260000000002</v>
      </c>
      <c r="R25" s="8">
        <f t="shared" si="8"/>
        <v>4586.7150000000001</v>
      </c>
      <c r="S25" s="8">
        <f t="shared" si="9"/>
        <v>2472.1260000000002</v>
      </c>
    </row>
    <row r="26" spans="1:19" x14ac:dyDescent="0.55000000000000004">
      <c r="A26" s="74"/>
      <c r="B26" s="22" t="s">
        <v>32</v>
      </c>
      <c r="C26" s="22">
        <f>H5</f>
        <v>2472.1260000000002</v>
      </c>
      <c r="D26" s="193">
        <f>J5</f>
        <v>114.66787500000001</v>
      </c>
      <c r="E26" s="205">
        <f>C26-D26</f>
        <v>2357.4581250000001</v>
      </c>
      <c r="F26" s="194">
        <f>IF(C26&gt;0,E26/C26,0)</f>
        <v>0.95361568342390313</v>
      </c>
      <c r="G26" s="195" t="str">
        <f>IF(C26&gt;D26,"ON-DEMAND","HOSTED")</f>
        <v>ON-DEMAND</v>
      </c>
      <c r="I26" s="179">
        <v>1000</v>
      </c>
      <c r="J26" s="12">
        <f>VLOOKUP(B4,B15:G20,6,FALSE)</f>
        <v>2472.1260000000002</v>
      </c>
      <c r="K26" s="12">
        <f>VLOOKUP(E4,I15:M22,4,FALSE)*I26</f>
        <v>22.933575000000001</v>
      </c>
      <c r="L26" s="12">
        <f t="shared" ref="L26:L35" si="10">J26-K26</f>
        <v>2449.1924250000002</v>
      </c>
      <c r="M26" s="11" t="str">
        <f t="shared" ref="M26:M35" si="11">IF(K26&lt;J26,"On-Demand","Hosted")</f>
        <v>On-Demand</v>
      </c>
      <c r="N26" s="17">
        <f t="shared" ref="N26:N35" si="12">IF(J26&gt;0,MAX(0,(J26-K26)/J26),0)</f>
        <v>0.99072313668478063</v>
      </c>
      <c r="P26" s="9">
        <f t="shared" si="6"/>
        <v>500000</v>
      </c>
      <c r="Q26" s="8">
        <f t="shared" si="7"/>
        <v>2472.1260000000002</v>
      </c>
      <c r="R26" s="8">
        <f t="shared" si="8"/>
        <v>11466.7875</v>
      </c>
      <c r="S26" s="8">
        <f t="shared" si="9"/>
        <v>2472.1260000000002</v>
      </c>
    </row>
    <row r="27" spans="1:19" x14ac:dyDescent="0.55000000000000004">
      <c r="A27" s="74"/>
      <c r="B27" s="196" t="s">
        <v>16</v>
      </c>
      <c r="C27" s="196">
        <f>I5</f>
        <v>29665.512000000002</v>
      </c>
      <c r="D27" s="197">
        <f>K5</f>
        <v>1376.0145000000002</v>
      </c>
      <c r="E27" s="205">
        <f>C27-D27</f>
        <v>28289.497500000001</v>
      </c>
      <c r="F27" s="198">
        <f>IF(C27&gt;0,E27/C27,0)</f>
        <v>0.95361568342390313</v>
      </c>
      <c r="G27" s="199" t="str">
        <f>IF(C27&gt;D27,"ON-DEMAND","HOSTED")</f>
        <v>ON-DEMAND</v>
      </c>
      <c r="I27" s="182">
        <v>3000</v>
      </c>
      <c r="J27" s="167">
        <f>VLOOKUP(B4,B15:G20,6,FALSE)</f>
        <v>2472.1260000000002</v>
      </c>
      <c r="K27" s="167">
        <f>VLOOKUP(E4,I15:M22,4,FALSE)*I27</f>
        <v>68.800725</v>
      </c>
      <c r="L27" s="167">
        <f t="shared" si="10"/>
        <v>2403.3252750000001</v>
      </c>
      <c r="M27" s="180" t="str">
        <f t="shared" si="11"/>
        <v>On-Demand</v>
      </c>
      <c r="N27" s="184">
        <f t="shared" si="12"/>
        <v>0.97216941005434188</v>
      </c>
      <c r="P27" s="9">
        <f t="shared" si="6"/>
        <v>1000000</v>
      </c>
      <c r="Q27" s="8">
        <f t="shared" si="7"/>
        <v>2472.1260000000002</v>
      </c>
      <c r="R27" s="8">
        <f t="shared" si="8"/>
        <v>22933.575000000001</v>
      </c>
      <c r="S27" s="8">
        <f t="shared" si="9"/>
        <v>2472.1260000000002</v>
      </c>
    </row>
    <row r="28" spans="1:19" x14ac:dyDescent="0.55000000000000004">
      <c r="A28" s="74"/>
      <c r="B28" s="200" t="s">
        <v>126</v>
      </c>
      <c r="C28" s="200">
        <f>H5/B11</f>
        <v>0.49442520000000006</v>
      </c>
      <c r="D28" s="201">
        <f>VLOOKUP(E4,I15:M22,4,FALSE)</f>
        <v>2.2933575000000001E-2</v>
      </c>
      <c r="E28" s="206">
        <f>C28-D28</f>
        <v>0.47149162500000008</v>
      </c>
      <c r="F28" s="194">
        <f>IF(C28&gt;0,E28/C28,0)</f>
        <v>0.95361568342390324</v>
      </c>
      <c r="G28" s="195" t="str">
        <f>IF(C28&gt;D28,"ON-DEMAND","HOSTED")</f>
        <v>ON-DEMAND</v>
      </c>
      <c r="I28" s="237">
        <v>6000</v>
      </c>
      <c r="J28" s="8">
        <f>VLOOKUP(B4,B15:G20,6,FALSE)</f>
        <v>2472.1260000000002</v>
      </c>
      <c r="K28" s="8">
        <f>VLOOKUP(E4,I15:M22,4,FALSE)*I28</f>
        <v>137.60145</v>
      </c>
      <c r="L28" s="8">
        <f t="shared" si="10"/>
        <v>2334.5245500000001</v>
      </c>
      <c r="M28" s="238" t="str">
        <f t="shared" si="11"/>
        <v>On-Demand</v>
      </c>
      <c r="N28" s="239">
        <f t="shared" si="12"/>
        <v>0.94433882010868375</v>
      </c>
    </row>
    <row r="29" spans="1:19" x14ac:dyDescent="0.55000000000000004">
      <c r="A29" s="74"/>
      <c r="B29" s="202" t="s">
        <v>127</v>
      </c>
      <c r="C29" s="213">
        <f>IF(D28&gt;0,ROUND(H5/D28,0),"N/A")</f>
        <v>107795</v>
      </c>
      <c r="D29" s="202" t="s">
        <v>128</v>
      </c>
      <c r="E29" s="202">
        <f>C29-B11</f>
        <v>102795</v>
      </c>
      <c r="F29" s="198">
        <f>IF(C29&gt;0,(C29-B11)/C29,0)</f>
        <v>0.95361565935340231</v>
      </c>
      <c r="G29" s="199" t="str">
        <f>IF(B11&lt;C29,"Below break-even","Above break-even")</f>
        <v>Below break-even</v>
      </c>
      <c r="I29" s="182">
        <v>10000</v>
      </c>
      <c r="J29" s="167">
        <f>VLOOKUP(B4,B15:G20,6,FALSE)</f>
        <v>2472.1260000000002</v>
      </c>
      <c r="K29" s="167">
        <f>VLOOKUP(E4,I15:M22,4,FALSE)*I29</f>
        <v>229.33575000000002</v>
      </c>
      <c r="L29" s="167">
        <f t="shared" si="10"/>
        <v>2242.79025</v>
      </c>
      <c r="M29" s="180" t="str">
        <f t="shared" si="11"/>
        <v>On-Demand</v>
      </c>
      <c r="N29" s="184">
        <f t="shared" si="12"/>
        <v>0.90723136684780625</v>
      </c>
      <c r="P29" t="s">
        <v>129</v>
      </c>
    </row>
    <row r="30" spans="1:19" x14ac:dyDescent="0.55000000000000004">
      <c r="A30" s="74"/>
      <c r="B30" s="203" t="s">
        <v>130</v>
      </c>
      <c r="C30" s="203">
        <f>IF(C29&gt;0,B11/C29,0)</f>
        <v>4.6384340646597709E-2</v>
      </c>
      <c r="D30" s="204">
        <v>1</v>
      </c>
      <c r="E30" s="21"/>
      <c r="F30" s="195"/>
      <c r="G30" s="195" t="str">
        <f>IF(C30&lt;0.5,"Low utilization","High utilization")</f>
        <v>Low utilization</v>
      </c>
      <c r="I30" s="179">
        <v>25000</v>
      </c>
      <c r="J30" s="12">
        <f>VLOOKUP(B4,B15:G20,6,FALSE)</f>
        <v>2472.1260000000002</v>
      </c>
      <c r="K30" s="12">
        <f>VLOOKUP(E4,I15:M22,4,FALSE)*I30</f>
        <v>573.33937500000002</v>
      </c>
      <c r="L30" s="12">
        <f t="shared" si="10"/>
        <v>1898.7866250000002</v>
      </c>
      <c r="M30" s="11" t="str">
        <f t="shared" si="11"/>
        <v>On-Demand</v>
      </c>
      <c r="N30" s="17">
        <f t="shared" si="12"/>
        <v>0.76807841711951574</v>
      </c>
      <c r="P30" t="s">
        <v>5</v>
      </c>
      <c r="Q30" t="s">
        <v>16</v>
      </c>
      <c r="R30" t="s">
        <v>97</v>
      </c>
    </row>
    <row r="31" spans="1:19" x14ac:dyDescent="0.55000000000000004">
      <c r="A31" s="74"/>
      <c r="I31" s="182">
        <v>50000</v>
      </c>
      <c r="J31" s="167">
        <f>VLOOKUP(B4,B15:G20,6,FALSE)</f>
        <v>2472.1260000000002</v>
      </c>
      <c r="K31" s="167">
        <f>VLOOKUP(E4,I15:M22,4,FALSE)*I31</f>
        <v>1146.67875</v>
      </c>
      <c r="L31" s="167">
        <f t="shared" si="10"/>
        <v>1325.4472500000002</v>
      </c>
      <c r="M31" s="180" t="str">
        <f t="shared" si="11"/>
        <v>On-Demand</v>
      </c>
      <c r="N31" s="184">
        <f t="shared" si="12"/>
        <v>0.53615683423903149</v>
      </c>
      <c r="P31" t="s">
        <v>98</v>
      </c>
      <c r="Q31">
        <f>G20*12</f>
        <v>74310.12000000001</v>
      </c>
      <c r="R31" t="s">
        <v>99</v>
      </c>
    </row>
    <row r="32" spans="1:19" ht="18.3" x14ac:dyDescent="0.7">
      <c r="A32" s="74"/>
      <c r="B32" s="257" t="s">
        <v>131</v>
      </c>
      <c r="C32" s="258"/>
      <c r="D32" s="258"/>
      <c r="E32" s="258"/>
      <c r="F32" s="258"/>
      <c r="G32" s="259"/>
      <c r="I32" s="179">
        <v>100000</v>
      </c>
      <c r="J32" s="12">
        <f>VLOOKUP(B4,B15:G20,6,FALSE)</f>
        <v>2472.1260000000002</v>
      </c>
      <c r="K32" s="12">
        <f>VLOOKUP(E4,I15:M22,4,FALSE)*I32</f>
        <v>2293.3575000000001</v>
      </c>
      <c r="L32" s="12">
        <f t="shared" si="10"/>
        <v>178.76850000000013</v>
      </c>
      <c r="M32" s="11" t="str">
        <f t="shared" si="11"/>
        <v>On-Demand</v>
      </c>
      <c r="N32" s="17">
        <f t="shared" si="12"/>
        <v>7.2313668478063059E-2</v>
      </c>
      <c r="P32" t="s">
        <v>103</v>
      </c>
      <c r="Q32">
        <f>G15*12</f>
        <v>29665.512000000002</v>
      </c>
      <c r="R32" t="s">
        <v>99</v>
      </c>
    </row>
    <row r="33" spans="1:18" ht="15.6" x14ac:dyDescent="0.6">
      <c r="A33" s="74"/>
      <c r="B33" s="260" t="str">
        <f>"RECOMMENDATION: USE "&amp;N5&amp;" MODELS"</f>
        <v>RECOMMENDATION: USE ON-DEMAND MODELS</v>
      </c>
      <c r="C33" s="261"/>
      <c r="D33" s="261"/>
      <c r="E33" s="261"/>
      <c r="F33" s="261"/>
      <c r="G33" s="262"/>
      <c r="I33" s="182">
        <v>200000</v>
      </c>
      <c r="J33" s="167">
        <f>VLOOKUP(B4,B15:G20,6,FALSE)</f>
        <v>2472.1260000000002</v>
      </c>
      <c r="K33" s="167">
        <f>VLOOKUP(E4,I15:M22,4,FALSE)*I33</f>
        <v>4586.7150000000001</v>
      </c>
      <c r="L33" s="167">
        <f t="shared" si="10"/>
        <v>-2114.5889999999999</v>
      </c>
      <c r="M33" s="180" t="str">
        <f t="shared" si="11"/>
        <v>Hosted</v>
      </c>
      <c r="N33" s="184">
        <f t="shared" si="12"/>
        <v>0</v>
      </c>
      <c r="P33" t="s">
        <v>18</v>
      </c>
      <c r="Q33" s="8">
        <f>N22</f>
        <v>234530.69999999998</v>
      </c>
      <c r="R33" t="s">
        <v>102</v>
      </c>
    </row>
    <row r="34" spans="1:18" x14ac:dyDescent="0.55000000000000004">
      <c r="A34" s="74"/>
      <c r="B34" s="187"/>
      <c r="C34" s="186"/>
      <c r="D34" s="186"/>
      <c r="E34" s="186"/>
      <c r="F34" s="186"/>
      <c r="G34" s="188"/>
      <c r="I34" s="179">
        <v>500000</v>
      </c>
      <c r="J34" s="12">
        <f>VLOOKUP(B4,B15:G20,6,FALSE)</f>
        <v>2472.1260000000002</v>
      </c>
      <c r="K34" s="12">
        <f>VLOOKUP(E4,I15:M22,4,FALSE)*I34</f>
        <v>11466.7875</v>
      </c>
      <c r="L34" s="12">
        <f t="shared" si="10"/>
        <v>-8994.6615000000002</v>
      </c>
      <c r="M34" s="11" t="str">
        <f t="shared" si="11"/>
        <v>Hosted</v>
      </c>
      <c r="N34" s="17">
        <f t="shared" si="12"/>
        <v>0</v>
      </c>
      <c r="P34" t="s">
        <v>17</v>
      </c>
      <c r="Q34" s="8">
        <f>N21</f>
        <v>140718.41999999998</v>
      </c>
      <c r="R34" t="s">
        <v>102</v>
      </c>
    </row>
    <row r="35" spans="1:18" x14ac:dyDescent="0.55000000000000004">
      <c r="A35" s="74"/>
      <c r="B35" s="233" t="s">
        <v>132</v>
      </c>
      <c r="C35" s="229">
        <f>B11</f>
        <v>5000</v>
      </c>
      <c r="D35" s="225" t="s">
        <v>133</v>
      </c>
      <c r="E35" s="235">
        <f>IF(VLOOKUP(E4,I15:M22,4,FALSE)&gt;0,H5/VLOOKUP(E4,I15:M22,4,FALSE),0)</f>
        <v>107795.0559387274</v>
      </c>
      <c r="F35" s="229">
        <f>C29</f>
        <v>107795</v>
      </c>
      <c r="G35" s="226" t="s">
        <v>133</v>
      </c>
      <c r="I35" s="183">
        <v>1000000</v>
      </c>
      <c r="J35" s="170">
        <f>VLOOKUP(B4,B15:G20,6,FALSE)</f>
        <v>2472.1260000000002</v>
      </c>
      <c r="K35" s="170">
        <f>VLOOKUP(E4,I15:M22,4,FALSE)*I35</f>
        <v>22933.575000000001</v>
      </c>
      <c r="L35" s="170">
        <f t="shared" si="10"/>
        <v>-20461.449000000001</v>
      </c>
      <c r="M35" s="181" t="str">
        <f t="shared" si="11"/>
        <v>Hosted</v>
      </c>
      <c r="N35" s="185">
        <f t="shared" si="12"/>
        <v>0</v>
      </c>
      <c r="P35" t="s">
        <v>15</v>
      </c>
      <c r="Q35" s="8">
        <f>N20</f>
        <v>46906.14</v>
      </c>
      <c r="R35" t="s">
        <v>102</v>
      </c>
    </row>
    <row r="36" spans="1:18" x14ac:dyDescent="0.55000000000000004">
      <c r="A36" s="74"/>
      <c r="B36" s="233" t="s">
        <v>134</v>
      </c>
      <c r="C36" s="230">
        <f>L5</f>
        <v>2357.4581250000001</v>
      </c>
      <c r="D36" s="225"/>
      <c r="E36" s="235" t="s">
        <v>135</v>
      </c>
      <c r="F36" s="230">
        <f>L5*12</f>
        <v>28289.497500000001</v>
      </c>
      <c r="G36" s="226"/>
      <c r="L36"/>
      <c r="P36" t="s">
        <v>30</v>
      </c>
      <c r="Q36" s="8">
        <f>N18</f>
        <v>117265.34999999999</v>
      </c>
      <c r="R36" t="s">
        <v>102</v>
      </c>
    </row>
    <row r="37" spans="1:18" x14ac:dyDescent="0.55000000000000004">
      <c r="A37" s="74"/>
      <c r="B37" s="233" t="s">
        <v>136</v>
      </c>
      <c r="C37" s="231">
        <f>M5</f>
        <v>0.95361568342390313</v>
      </c>
      <c r="D37" s="225"/>
      <c r="E37" s="235" t="s">
        <v>137</v>
      </c>
      <c r="F37" s="229">
        <f>MAX(0,C29-B11)</f>
        <v>102795</v>
      </c>
      <c r="G37" s="226" t="s">
        <v>138</v>
      </c>
      <c r="P37" t="s">
        <v>27</v>
      </c>
      <c r="Q37" s="8">
        <f>N17</f>
        <v>31451.760000000006</v>
      </c>
      <c r="R37" t="s">
        <v>102</v>
      </c>
    </row>
    <row r="38" spans="1:18" x14ac:dyDescent="0.55000000000000004">
      <c r="A38" s="74"/>
      <c r="B38" s="234" t="s">
        <v>139</v>
      </c>
      <c r="C38" s="232" t="str">
        <f>E4</f>
        <v>Nova Micro</v>
      </c>
      <c r="D38" s="227"/>
      <c r="E38" s="236" t="s">
        <v>140</v>
      </c>
      <c r="F38" s="232" t="str">
        <f>B4</f>
        <v>Llama</v>
      </c>
      <c r="G38" s="228"/>
      <c r="I38" s="190" t="s">
        <v>141</v>
      </c>
      <c r="J38" s="190" t="str">
        <f>"Hosted ("&amp;B4&amp;")"</f>
        <v>Hosted (Llama)</v>
      </c>
      <c r="K38" s="190" t="str">
        <f>"On-Demand ("&amp;E4&amp;")"</f>
        <v>On-Demand (Nova Micro)</v>
      </c>
      <c r="L38" s="215" t="s">
        <v>142</v>
      </c>
      <c r="P38" t="s">
        <v>34</v>
      </c>
      <c r="Q38" s="8">
        <f>N19</f>
        <v>11909.0736</v>
      </c>
      <c r="R38" t="s">
        <v>102</v>
      </c>
    </row>
    <row r="39" spans="1:18" x14ac:dyDescent="0.55000000000000004">
      <c r="A39" s="74"/>
      <c r="I39" s="190">
        <v>1000</v>
      </c>
      <c r="J39" s="191">
        <f>VLOOKUP(B4,B15:G20,6,FALSE)</f>
        <v>2472.1260000000002</v>
      </c>
      <c r="K39" s="191">
        <f>VLOOKUP(E4,I15:M22,4,FALSE)*I39</f>
        <v>22.933575000000001</v>
      </c>
      <c r="L39" s="214">
        <f>IF(I39&lt;$C$29,$H$5,NA())</f>
        <v>2472.1260000000002</v>
      </c>
      <c r="P39" t="s">
        <v>26</v>
      </c>
      <c r="Q39" s="8">
        <f>N16</f>
        <v>2358.8819999999996</v>
      </c>
      <c r="R39" t="s">
        <v>102</v>
      </c>
    </row>
    <row r="40" spans="1:18" x14ac:dyDescent="0.55000000000000004">
      <c r="A40" s="74"/>
      <c r="B40" s="250" t="str">
        <f>"COST SCALING BY VOLUME"</f>
        <v>COST SCALING BY VOLUME</v>
      </c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P40" t="s">
        <v>24</v>
      </c>
      <c r="Q40" s="8">
        <f>N15</f>
        <v>1376.0145000000002</v>
      </c>
      <c r="R40" t="s">
        <v>102</v>
      </c>
    </row>
    <row r="41" spans="1:18" x14ac:dyDescent="0.55000000000000004">
      <c r="A41" s="74"/>
      <c r="B41" s="85" t="s">
        <v>5</v>
      </c>
      <c r="C41" s="85" t="s">
        <v>32</v>
      </c>
      <c r="I41" s="190">
        <v>6000</v>
      </c>
      <c r="J41" s="191">
        <f>VLOOKUP(B4,B15:G20,6,FALSE)</f>
        <v>2472.1260000000002</v>
      </c>
      <c r="K41" s="191">
        <f>VLOOKUP(E4,I15:M22,4,FALSE)*I41</f>
        <v>137.60145</v>
      </c>
      <c r="L41" s="216">
        <f t="shared" ref="L41:L48" si="13">IF(I41&lt;$C$29,$H$5,NA())</f>
        <v>2472.1260000000002</v>
      </c>
    </row>
    <row r="42" spans="1:18" x14ac:dyDescent="0.55000000000000004">
      <c r="A42" s="74"/>
      <c r="B42" s="85" t="str">
        <f>"Hosted "&amp;B4</f>
        <v>Hosted Llama</v>
      </c>
      <c r="C42" s="189">
        <f>H5</f>
        <v>2472.1260000000002</v>
      </c>
      <c r="I42" s="190">
        <v>10000</v>
      </c>
      <c r="J42" s="191">
        <f>VLOOKUP(B4,B15:G20,6,FALSE)</f>
        <v>2472.1260000000002</v>
      </c>
      <c r="K42" s="191">
        <f>VLOOKUP(E4,I15:M22,4,FALSE)*I42</f>
        <v>229.33575000000002</v>
      </c>
      <c r="L42" s="216">
        <f t="shared" si="13"/>
        <v>2472.1260000000002</v>
      </c>
    </row>
    <row r="43" spans="1:18" x14ac:dyDescent="0.55000000000000004">
      <c r="A43" s="74"/>
      <c r="B43" s="85" t="str">
        <f>"On-Demand "&amp;E4</f>
        <v>On-Demand Nova Micro</v>
      </c>
      <c r="C43" s="189">
        <f>J5</f>
        <v>114.66787500000001</v>
      </c>
      <c r="I43" s="190">
        <v>25000</v>
      </c>
      <c r="J43" s="191">
        <f>VLOOKUP(B4,B15:G20,6,FALSE)</f>
        <v>2472.1260000000002</v>
      </c>
      <c r="K43" s="191">
        <f>VLOOKUP(E4,I15:M22,4,FALSE)*I43</f>
        <v>573.33937500000002</v>
      </c>
      <c r="L43" s="216">
        <f t="shared" si="13"/>
        <v>2472.1260000000002</v>
      </c>
    </row>
    <row r="44" spans="1:18" x14ac:dyDescent="0.55000000000000004">
      <c r="A44" s="74"/>
      <c r="B44" s="85" t="s">
        <v>30</v>
      </c>
      <c r="C44" s="189">
        <f>M18</f>
        <v>9772.1124999999993</v>
      </c>
      <c r="I44" s="190">
        <v>50000</v>
      </c>
      <c r="J44" s="191">
        <f>VLOOKUP(B4,B15:G20,6,FALSE)</f>
        <v>2472.1260000000002</v>
      </c>
      <c r="K44" s="191">
        <f>VLOOKUP(E4,I15:M22,4,FALSE)*I44</f>
        <v>1146.67875</v>
      </c>
      <c r="L44" s="216">
        <f t="shared" si="13"/>
        <v>2472.1260000000002</v>
      </c>
    </row>
    <row r="45" spans="1:18" x14ac:dyDescent="0.55000000000000004">
      <c r="A45" s="74"/>
      <c r="B45" s="85" t="s">
        <v>15</v>
      </c>
      <c r="C45" s="189">
        <f>M20</f>
        <v>3908.8450000000003</v>
      </c>
      <c r="I45" s="190">
        <v>100000</v>
      </c>
      <c r="J45" s="191">
        <f>VLOOKUP(B4,B15:G20,6,FALSE)</f>
        <v>2472.1260000000002</v>
      </c>
      <c r="K45" s="191">
        <f>VLOOKUP(E4,I15:M22,4,FALSE)*I45</f>
        <v>2293.3575000000001</v>
      </c>
      <c r="L45" s="216">
        <f t="shared" si="13"/>
        <v>2472.1260000000002</v>
      </c>
    </row>
    <row r="46" spans="1:18" x14ac:dyDescent="0.55000000000000004">
      <c r="A46" s="74"/>
      <c r="B46" s="85" t="s">
        <v>27</v>
      </c>
      <c r="C46" s="189">
        <f>M17</f>
        <v>2620.9800000000005</v>
      </c>
      <c r="I46" s="190">
        <v>200000</v>
      </c>
      <c r="J46" s="191">
        <f>VLOOKUP(B4,B15:G20,6,FALSE)</f>
        <v>2472.1260000000002</v>
      </c>
      <c r="K46" s="191">
        <f>VLOOKUP(E4,I15:M22,4,FALSE)*I46</f>
        <v>4586.7150000000001</v>
      </c>
      <c r="L46" s="216" t="e">
        <f t="shared" si="13"/>
        <v>#N/A</v>
      </c>
    </row>
    <row r="47" spans="1:18" x14ac:dyDescent="0.55000000000000004">
      <c r="A47" s="74"/>
      <c r="B47" s="85" t="s">
        <v>34</v>
      </c>
      <c r="C47" s="189">
        <f>M19</f>
        <v>992.42280000000005</v>
      </c>
      <c r="I47" s="190">
        <v>500000</v>
      </c>
      <c r="J47" s="191">
        <f>VLOOKUP(B4,B15:G20,6,FALSE)</f>
        <v>2472.1260000000002</v>
      </c>
      <c r="K47" s="191">
        <f>VLOOKUP(E4,I15:M22,4,FALSE)*I47</f>
        <v>11466.7875</v>
      </c>
      <c r="L47" s="216" t="e">
        <f t="shared" si="13"/>
        <v>#N/A</v>
      </c>
    </row>
    <row r="48" spans="1:18" x14ac:dyDescent="0.55000000000000004">
      <c r="A48" s="74"/>
      <c r="B48" s="85" t="s">
        <v>26</v>
      </c>
      <c r="C48" s="189">
        <f>M16</f>
        <v>196.57349999999997</v>
      </c>
      <c r="I48" s="190">
        <v>1000000</v>
      </c>
      <c r="J48" s="191">
        <f>VLOOKUP(B4,B15:G20,6,FALSE)</f>
        <v>2472.1260000000002</v>
      </c>
      <c r="K48" s="191">
        <f>VLOOKUP(E4,I15:M22,4,FALSE)*I48</f>
        <v>22933.575000000001</v>
      </c>
      <c r="L48" s="216" t="e">
        <f t="shared" si="13"/>
        <v>#N/A</v>
      </c>
    </row>
    <row r="49" spans="1:12" x14ac:dyDescent="0.55000000000000004">
      <c r="A49" s="74"/>
      <c r="B49" s="85" t="s">
        <v>24</v>
      </c>
      <c r="C49" s="189">
        <f>M15</f>
        <v>114.66787500000001</v>
      </c>
      <c r="L49"/>
    </row>
    <row r="50" spans="1:12" x14ac:dyDescent="0.55000000000000004">
      <c r="A50" s="74"/>
      <c r="L50"/>
    </row>
    <row r="51" spans="1:12" x14ac:dyDescent="0.55000000000000004">
      <c r="A51" s="74"/>
      <c r="L51"/>
    </row>
    <row r="52" spans="1:12" x14ac:dyDescent="0.55000000000000004">
      <c r="A52" s="74"/>
      <c r="L52"/>
    </row>
    <row r="53" spans="1:12" x14ac:dyDescent="0.55000000000000004">
      <c r="A53" s="74"/>
      <c r="L53"/>
    </row>
    <row r="54" spans="1:12" x14ac:dyDescent="0.55000000000000004">
      <c r="A54" s="74"/>
      <c r="L54"/>
    </row>
    <row r="55" spans="1:12" x14ac:dyDescent="0.55000000000000004">
      <c r="A55" s="74"/>
      <c r="L55"/>
    </row>
    <row r="56" spans="1:12" x14ac:dyDescent="0.55000000000000004">
      <c r="A56" s="74"/>
      <c r="L56"/>
    </row>
    <row r="57" spans="1:12" x14ac:dyDescent="0.55000000000000004">
      <c r="A57" s="74"/>
      <c r="L57"/>
    </row>
    <row r="58" spans="1:12" x14ac:dyDescent="0.55000000000000004">
      <c r="A58" s="74"/>
      <c r="L58"/>
    </row>
  </sheetData>
  <mergeCells count="17">
    <mergeCell ref="B4:C4"/>
    <mergeCell ref="E4:F4"/>
    <mergeCell ref="B40:N40"/>
    <mergeCell ref="B32:G32"/>
    <mergeCell ref="B33:G33"/>
    <mergeCell ref="B6:N6"/>
    <mergeCell ref="B7:N7"/>
    <mergeCell ref="B9:E9"/>
    <mergeCell ref="B13:G13"/>
    <mergeCell ref="I13:N13"/>
    <mergeCell ref="B24:G24"/>
    <mergeCell ref="I24:N24"/>
    <mergeCell ref="B1:N1"/>
    <mergeCell ref="B2:N2"/>
    <mergeCell ref="B3:C3"/>
    <mergeCell ref="E3:F3"/>
    <mergeCell ref="H3:N3"/>
  </mergeCells>
  <dataValidations count="2">
    <dataValidation type="list" allowBlank="1" showInputMessage="1" showErrorMessage="1" sqref="B4" xr:uid="{6884B2AE-5F54-4756-A445-6D649A134C2F}">
      <formula1>"Llama,Mistral,Mixtral,Flan,Qwen,OpenAI"</formula1>
    </dataValidation>
    <dataValidation type="list" allowBlank="1" showInputMessage="1" showErrorMessage="1" sqref="E4" xr:uid="{7AFA9E73-48F4-45B1-A627-C7186AB419D9}">
      <formula1>"Nova Micro,Nova Lite,Nova Pro,Nova Premier,Llama 3.3 70B,Claude Haiku 4.5,Claude Sonnet 4.6,Claude Opus 4.7"</formula1>
    </dataValidation>
  </dataValidations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113D-9640-48C0-8E7B-D20755FDB7CA}">
  <dimension ref="A1:AJ139"/>
  <sheetViews>
    <sheetView zoomScaleNormal="100" workbookViewId="0">
      <pane xSplit="1" topLeftCell="B1" activePane="topRight" state="frozen"/>
      <selection pane="topRight" activeCell="E88" sqref="E88"/>
    </sheetView>
  </sheetViews>
  <sheetFormatPr defaultRowHeight="14.4" x14ac:dyDescent="0.55000000000000004"/>
  <cols>
    <col min="1" max="1" width="26.26171875" customWidth="1"/>
    <col min="2" max="2" width="0.734375" customWidth="1"/>
    <col min="3" max="3" width="24.578125" customWidth="1"/>
    <col min="4" max="6" width="17.578125" customWidth="1"/>
    <col min="7" max="7" width="13.578125" bestFit="1" customWidth="1"/>
    <col min="8" max="8" width="22.83984375" customWidth="1"/>
    <col min="9" max="10" width="14" customWidth="1"/>
    <col min="11" max="11" width="19.26171875" customWidth="1"/>
    <col min="12" max="12" width="17.578125" style="3" customWidth="1"/>
    <col min="13" max="13" width="21" customWidth="1"/>
    <col min="14" max="14" width="27.26171875" customWidth="1"/>
    <col min="15" max="16" width="13.1015625" customWidth="1"/>
    <col min="17" max="17" width="32.41796875" customWidth="1"/>
    <col min="18" max="20" width="14" customWidth="1"/>
    <col min="21" max="21" width="16.734375" customWidth="1"/>
    <col min="22" max="23" width="15.83984375" customWidth="1"/>
    <col min="24" max="24" width="17.578125" customWidth="1"/>
    <col min="25" max="26" width="15.83984375" customWidth="1"/>
    <col min="27" max="27" width="14.83984375" customWidth="1"/>
    <col min="28" max="32" width="14.83984375" hidden="1" customWidth="1"/>
    <col min="33" max="36" width="0" hidden="1" customWidth="1"/>
  </cols>
  <sheetData>
    <row r="1" spans="1:36" ht="35.1" customHeight="1" x14ac:dyDescent="0.7">
      <c r="A1" s="75" t="s">
        <v>0</v>
      </c>
      <c r="B1" s="74"/>
      <c r="C1" s="272" t="s">
        <v>1</v>
      </c>
      <c r="D1" s="273"/>
      <c r="E1" s="273"/>
      <c r="F1" s="274"/>
      <c r="G1" s="20"/>
      <c r="H1" s="275" t="s">
        <v>2</v>
      </c>
      <c r="I1" s="276"/>
      <c r="J1" s="276"/>
      <c r="K1" s="277"/>
      <c r="M1" s="263" t="s">
        <v>3</v>
      </c>
      <c r="N1" s="263"/>
      <c r="O1" s="263"/>
      <c r="P1" s="93"/>
      <c r="AB1" s="2" t="s">
        <v>143</v>
      </c>
      <c r="AE1" s="2" t="s">
        <v>144</v>
      </c>
    </row>
    <row r="2" spans="1:36" ht="20.100000000000001" customHeight="1" thickBot="1" x14ac:dyDescent="0.6">
      <c r="A2" s="76" t="s">
        <v>4</v>
      </c>
      <c r="B2" s="74"/>
      <c r="C2" s="46"/>
      <c r="D2" s="20"/>
      <c r="E2" s="20"/>
      <c r="F2" s="51"/>
      <c r="G2" s="20"/>
      <c r="H2" s="66" t="s">
        <v>5</v>
      </c>
      <c r="I2" s="37" t="s">
        <v>6</v>
      </c>
      <c r="J2" s="37" t="s">
        <v>7</v>
      </c>
      <c r="K2" s="69" t="s">
        <v>8</v>
      </c>
      <c r="M2" s="251" t="s">
        <v>9</v>
      </c>
      <c r="N2" s="251"/>
      <c r="O2" s="251"/>
      <c r="AB2" t="s">
        <v>5</v>
      </c>
      <c r="AC2" t="s">
        <v>32</v>
      </c>
      <c r="AE2" t="s">
        <v>141</v>
      </c>
      <c r="AF2" t="s">
        <v>103</v>
      </c>
      <c r="AG2" t="s">
        <v>98</v>
      </c>
      <c r="AH2" t="s">
        <v>24</v>
      </c>
      <c r="AI2" t="s">
        <v>27</v>
      </c>
      <c r="AJ2" t="s">
        <v>145</v>
      </c>
    </row>
    <row r="3" spans="1:36" x14ac:dyDescent="0.55000000000000004">
      <c r="A3" s="84" t="s">
        <v>10</v>
      </c>
      <c r="B3" s="74"/>
      <c r="C3" s="47" t="s">
        <v>11</v>
      </c>
      <c r="D3" s="25" t="s">
        <v>12</v>
      </c>
      <c r="E3" s="26" t="s">
        <v>13</v>
      </c>
      <c r="F3" s="52" t="s">
        <v>14</v>
      </c>
      <c r="G3" s="20"/>
      <c r="H3" s="68" t="s">
        <v>15</v>
      </c>
      <c r="I3" s="38">
        <f>'AWS LLM Pricing'!D2</f>
        <v>1</v>
      </c>
      <c r="J3" s="38">
        <f>'AWS LLM Pricing'!E2</f>
        <v>5</v>
      </c>
      <c r="K3" s="70">
        <f>((SUM(Per_Agent_Tokens!C:C)+SynthInputTokens)*I3/1000000+(SUM(Per_Agent_Tokens!D:D)+SynthOutputTokens)*J3/1000000)*MonthlyCaseVolume*(1+InfrastructurePct)</f>
        <v>1797.4728</v>
      </c>
      <c r="M3" s="88" t="s">
        <v>5</v>
      </c>
      <c r="N3" s="250" t="s">
        <v>16</v>
      </c>
      <c r="O3" s="250"/>
      <c r="AB3" t="s">
        <v>98</v>
      </c>
      <c r="AC3" s="8">
        <f>H92</f>
        <v>6192.5100000000011</v>
      </c>
      <c r="AE3">
        <v>1000</v>
      </c>
      <c r="AF3" s="8">
        <f t="shared" ref="AF3:AF9" si="0">$H$87</f>
        <v>2472.1260000000002</v>
      </c>
      <c r="AG3" s="8">
        <f t="shared" ref="AG3:AG9" si="1">$H$92</f>
        <v>6192.5100000000011</v>
      </c>
      <c r="AH3">
        <f t="shared" ref="AH3:AH9" si="2">($I$6*$C$7/1000000+$J$6*$D$7/1000000)*AE3*(1+$A$24)</f>
        <v>9.4510079999999999</v>
      </c>
      <c r="AI3">
        <f t="shared" ref="AI3:AI9" si="3">($I$8*$C$7/1000000+$J$8*$D$7/1000000)*AE3*(1+$A$24)</f>
        <v>216.02303999999998</v>
      </c>
      <c r="AJ3">
        <f t="shared" ref="AJ3:AJ9" si="4">($I$10*$C$7/1000000+$J$10*$D$7/1000000)*AE3*(1+$A$24)</f>
        <v>130.592736</v>
      </c>
    </row>
    <row r="4" spans="1:36" ht="18.600000000000001" thickBot="1" x14ac:dyDescent="0.75">
      <c r="A4" s="77" t="s">
        <v>27</v>
      </c>
      <c r="B4" s="74"/>
      <c r="C4" s="48">
        <f>((SUM(Per_Agent_Tokens!C:C)+SynthInputTokens)*InputPrice/1000000+(SUM(Per_Agent_Tokens!D:D)+SynthOutputTokens)*OutputPrice/1000000)*MonthlyCaseVolume*(1+InfrastructurePct)</f>
        <v>1296.13824</v>
      </c>
      <c r="D4" s="27">
        <f>C4/MonthlyCaseVolume</f>
        <v>0.21602304</v>
      </c>
      <c r="E4" s="28">
        <f>C4*12</f>
        <v>15553.658879999999</v>
      </c>
      <c r="F4" s="53">
        <f>SUM(Per_Agent_Tokens!C:C)+SUM(Per_Agent_Tokens!D:D)+SynthInputTokens+SynthOutputTokens</f>
        <v>151149</v>
      </c>
      <c r="G4" s="20"/>
      <c r="H4" s="67" t="s">
        <v>17</v>
      </c>
      <c r="I4" s="39">
        <f>'AWS LLM Pricing'!D3</f>
        <v>3</v>
      </c>
      <c r="J4" s="39">
        <f>'AWS LLM Pricing'!E3</f>
        <v>15</v>
      </c>
      <c r="K4" s="71">
        <f>((SUM(Per_Agent_Tokens!C:C)+SynthInputTokens)*I4/1000000+(SUM(Per_Agent_Tokens!D:D)+SynthOutputTokens)*J4/1000000)*MonthlyCaseVolume*(1+InfrastructurePct)</f>
        <v>5392.4183999999996</v>
      </c>
      <c r="M4" t="str" cm="1">
        <f t="array" ref="M4:N11">_xlfn._xlws.SORT(_xlfn.HSTACK(C44:C51,O44:O51),2,-1)</f>
        <v>Claude Opus 4.7</v>
      </c>
      <c r="N4" s="94">
        <v>107848.36799999999</v>
      </c>
      <c r="AB4" t="s">
        <v>103</v>
      </c>
      <c r="AC4" s="8">
        <f>H87</f>
        <v>2472.1260000000002</v>
      </c>
      <c r="AE4">
        <v>3000</v>
      </c>
      <c r="AF4" s="8">
        <f t="shared" si="0"/>
        <v>2472.1260000000002</v>
      </c>
      <c r="AG4" s="8">
        <f t="shared" si="1"/>
        <v>6192.5100000000011</v>
      </c>
      <c r="AH4">
        <f t="shared" si="2"/>
        <v>28.353024000000001</v>
      </c>
      <c r="AI4">
        <f t="shared" si="3"/>
        <v>648.06912</v>
      </c>
      <c r="AJ4">
        <f t="shared" si="4"/>
        <v>391.77820799999995</v>
      </c>
    </row>
    <row r="5" spans="1:36" ht="14.7" thickBot="1" x14ac:dyDescent="0.6">
      <c r="A5" s="78"/>
      <c r="B5" s="74"/>
      <c r="C5" s="46"/>
      <c r="D5" s="20"/>
      <c r="E5" s="20"/>
      <c r="F5" s="51"/>
      <c r="G5" s="20"/>
      <c r="H5" s="68" t="s">
        <v>18</v>
      </c>
      <c r="I5" s="38">
        <f>'AWS LLM Pricing'!D4</f>
        <v>5</v>
      </c>
      <c r="J5" s="38">
        <f>'AWS LLM Pricing'!E4</f>
        <v>25</v>
      </c>
      <c r="K5" s="70">
        <f>((SUM(Per_Agent_Tokens!C:C)+SynthInputTokens)*I5/1000000+(SUM(Per_Agent_Tokens!D:D)+SynthOutputTokens)*J5/1000000)*MonthlyCaseVolume*(1+InfrastructurePct)</f>
        <v>8987.3639999999996</v>
      </c>
      <c r="M5" t="str">
        <v>Claude Sonnet 4.6</v>
      </c>
      <c r="N5" s="94">
        <v>64709.020799999998</v>
      </c>
      <c r="O5" s="8"/>
      <c r="AB5" t="s">
        <v>10</v>
      </c>
      <c r="AC5" s="8">
        <f>$C$4</f>
        <v>1296.13824</v>
      </c>
      <c r="AE5">
        <v>6000</v>
      </c>
      <c r="AF5" s="8">
        <f t="shared" si="0"/>
        <v>2472.1260000000002</v>
      </c>
      <c r="AG5" s="8">
        <f t="shared" si="1"/>
        <v>6192.5100000000011</v>
      </c>
      <c r="AH5">
        <f t="shared" si="2"/>
        <v>56.706048000000003</v>
      </c>
      <c r="AI5">
        <f t="shared" si="3"/>
        <v>1296.13824</v>
      </c>
      <c r="AJ5">
        <f t="shared" si="4"/>
        <v>783.5564159999999</v>
      </c>
    </row>
    <row r="6" spans="1:36" x14ac:dyDescent="0.55000000000000004">
      <c r="A6" s="79" t="s">
        <v>19</v>
      </c>
      <c r="B6" s="74"/>
      <c r="C6" s="49" t="s">
        <v>20</v>
      </c>
      <c r="D6" s="29" t="s">
        <v>21</v>
      </c>
      <c r="E6" s="30" t="s">
        <v>22</v>
      </c>
      <c r="F6" s="54" t="s">
        <v>23</v>
      </c>
      <c r="G6" s="20"/>
      <c r="H6" s="67" t="s">
        <v>24</v>
      </c>
      <c r="I6" s="39">
        <f>'AWS LLM Pricing'!D5</f>
        <v>3.5000000000000003E-2</v>
      </c>
      <c r="J6" s="39">
        <f>'AWS LLM Pricing'!E5</f>
        <v>0.14000000000000001</v>
      </c>
      <c r="K6" s="71">
        <f>((SUM(Per_Agent_Tokens!C:C)+SynthInputTokens)*I6/1000000+(SUM(Per_Agent_Tokens!D:D)+SynthOutputTokens)*J6/1000000)*MonthlyCaseVolume*(1+InfrastructurePct)</f>
        <v>56.706048000000003</v>
      </c>
      <c r="M6" t="str">
        <v>Nova Premier</v>
      </c>
      <c r="N6" s="94">
        <v>53924.183999999994</v>
      </c>
      <c r="O6" s="8"/>
      <c r="AB6" t="s">
        <v>34</v>
      </c>
      <c r="AC6" s="8">
        <f>K10</f>
        <v>783.5564159999999</v>
      </c>
      <c r="AE6">
        <v>12000</v>
      </c>
      <c r="AF6" s="8">
        <f t="shared" si="0"/>
        <v>2472.1260000000002</v>
      </c>
      <c r="AG6" s="8">
        <f t="shared" si="1"/>
        <v>6192.5100000000011</v>
      </c>
      <c r="AH6">
        <f t="shared" si="2"/>
        <v>113.41209600000001</v>
      </c>
      <c r="AI6">
        <f t="shared" si="3"/>
        <v>2592.27648</v>
      </c>
      <c r="AJ6">
        <f t="shared" si="4"/>
        <v>1567.1128319999998</v>
      </c>
    </row>
    <row r="7" spans="1:36" ht="18.600000000000001" thickBot="1" x14ac:dyDescent="0.75">
      <c r="A7" s="84" t="s">
        <v>25</v>
      </c>
      <c r="B7" s="74"/>
      <c r="C7" s="50">
        <f>SUM(Per_Agent_Tokens!C:C)+SynthInputTokens</f>
        <v>126524</v>
      </c>
      <c r="D7" s="44">
        <f>SUM(Per_Agent_Tokens!D:D)+SynthOutputTokens</f>
        <v>24625</v>
      </c>
      <c r="E7" s="45" t="str">
        <f>ROUND(C7/D7,1)&amp;" : 1"</f>
        <v>5.1 : 1</v>
      </c>
      <c r="F7" s="55">
        <f>C4/30</f>
        <v>43.204608</v>
      </c>
      <c r="G7" s="20"/>
      <c r="H7" s="68" t="s">
        <v>26</v>
      </c>
      <c r="I7" s="38">
        <f>'AWS LLM Pricing'!D6</f>
        <v>0.06</v>
      </c>
      <c r="J7" s="38">
        <f>'AWS LLM Pricing'!E6</f>
        <v>0.24</v>
      </c>
      <c r="K7" s="70">
        <f>((SUM(Per_Agent_Tokens!C:C)+SynthInputTokens)*I7/1000000+(SUM(Per_Agent_Tokens!D:D)+SynthOutputTokens)*J7/1000000)*MonthlyCaseVolume*(1+InfrastructurePct)</f>
        <v>97.210368000000003</v>
      </c>
      <c r="M7" t="str">
        <v>Claude Haiku 4.5</v>
      </c>
      <c r="N7" s="94">
        <v>21569.673600000002</v>
      </c>
      <c r="O7" s="8"/>
      <c r="AB7" t="s">
        <v>27</v>
      </c>
      <c r="AC7" s="8">
        <f>K8</f>
        <v>1296.13824</v>
      </c>
      <c r="AE7">
        <v>25000</v>
      </c>
      <c r="AF7" s="8">
        <f t="shared" si="0"/>
        <v>2472.1260000000002</v>
      </c>
      <c r="AG7" s="8">
        <f t="shared" si="1"/>
        <v>6192.5100000000011</v>
      </c>
      <c r="AH7">
        <f t="shared" si="2"/>
        <v>236.27520000000001</v>
      </c>
      <c r="AI7">
        <f t="shared" si="3"/>
        <v>5400.5759999999991</v>
      </c>
      <c r="AJ7">
        <f t="shared" si="4"/>
        <v>3264.8183999999997</v>
      </c>
    </row>
    <row r="8" spans="1:36" ht="14.7" thickBot="1" x14ac:dyDescent="0.6">
      <c r="A8" s="80">
        <f>VLOOKUP(A4,'AWS LLM Pricing'!B:E,3,FALSE)</f>
        <v>0.8</v>
      </c>
      <c r="B8" s="74"/>
      <c r="C8" s="20"/>
      <c r="D8" s="20"/>
      <c r="E8" s="20"/>
      <c r="F8" s="20"/>
      <c r="G8" s="20"/>
      <c r="H8" s="67" t="s">
        <v>27</v>
      </c>
      <c r="I8" s="39">
        <f>'AWS LLM Pricing'!D7</f>
        <v>0.8</v>
      </c>
      <c r="J8" s="39">
        <f>'AWS LLM Pricing'!E7</f>
        <v>3.2</v>
      </c>
      <c r="K8" s="71">
        <f>((SUM(Per_Agent_Tokens!C:C)+SynthInputTokens)*I8/1000000+(SUM(Per_Agent_Tokens!D:D)+SynthOutputTokens)*J8/1000000)*MonthlyCaseVolume*(1+InfrastructurePct)</f>
        <v>1296.13824</v>
      </c>
      <c r="M8" t="str">
        <v>Nova Pro</v>
      </c>
      <c r="N8" s="94">
        <v>15553.658879999999</v>
      </c>
      <c r="O8" s="8"/>
      <c r="AB8" t="s">
        <v>24</v>
      </c>
      <c r="AC8" s="8">
        <f>K6</f>
        <v>56.706048000000003</v>
      </c>
      <c r="AE8">
        <v>50000</v>
      </c>
      <c r="AF8" s="8">
        <f t="shared" si="0"/>
        <v>2472.1260000000002</v>
      </c>
      <c r="AG8" s="8">
        <f t="shared" si="1"/>
        <v>6192.5100000000011</v>
      </c>
      <c r="AH8">
        <f t="shared" si="2"/>
        <v>472.55040000000002</v>
      </c>
      <c r="AI8">
        <f t="shared" si="3"/>
        <v>10801.151999999998</v>
      </c>
      <c r="AJ8">
        <f t="shared" si="4"/>
        <v>6529.6367999999993</v>
      </c>
    </row>
    <row r="9" spans="1:36" ht="15.6" x14ac:dyDescent="0.6">
      <c r="A9" s="84" t="s">
        <v>28</v>
      </c>
      <c r="B9" s="74"/>
      <c r="C9" s="270" t="s">
        <v>29</v>
      </c>
      <c r="D9" s="261"/>
      <c r="E9" s="261"/>
      <c r="F9" s="261"/>
      <c r="G9" s="20"/>
      <c r="H9" s="68" t="s">
        <v>30</v>
      </c>
      <c r="I9" s="38">
        <f>'AWS LLM Pricing'!D8</f>
        <v>2.5</v>
      </c>
      <c r="J9" s="38">
        <f>'AWS LLM Pricing'!E8</f>
        <v>12.5</v>
      </c>
      <c r="K9" s="70">
        <f>((SUM(Per_Agent_Tokens!C:C)+SynthInputTokens)*I9/1000000+(SUM(Per_Agent_Tokens!D:D)+SynthOutputTokens)*J9/1000000)*MonthlyCaseVolume*(1+InfrastructurePct)</f>
        <v>4493.6819999999998</v>
      </c>
      <c r="M9" t="str">
        <v>Llama 3.3 70B</v>
      </c>
      <c r="N9" s="94">
        <v>9402.6769919999988</v>
      </c>
      <c r="O9" s="8"/>
      <c r="AE9">
        <v>100000</v>
      </c>
      <c r="AF9" s="8">
        <f t="shared" si="0"/>
        <v>2472.1260000000002</v>
      </c>
      <c r="AG9" s="8">
        <f t="shared" si="1"/>
        <v>6192.5100000000011</v>
      </c>
      <c r="AH9">
        <f t="shared" si="2"/>
        <v>945.10080000000005</v>
      </c>
      <c r="AI9">
        <f t="shared" si="3"/>
        <v>21602.303999999996</v>
      </c>
      <c r="AJ9">
        <f t="shared" si="4"/>
        <v>13059.273599999999</v>
      </c>
    </row>
    <row r="10" spans="1:36" ht="14.7" thickBot="1" x14ac:dyDescent="0.6">
      <c r="A10" s="80">
        <f>VLOOKUP(A4,'AWS LLM Pricing'!B:E,4,FALSE)</f>
        <v>3.2</v>
      </c>
      <c r="B10" s="74"/>
      <c r="C10" s="57" t="s">
        <v>31</v>
      </c>
      <c r="D10" s="32" t="s">
        <v>32</v>
      </c>
      <c r="E10" s="251" t="s">
        <v>33</v>
      </c>
      <c r="F10" s="251"/>
      <c r="G10" s="20"/>
      <c r="H10" s="67" t="s">
        <v>34</v>
      </c>
      <c r="I10" s="39">
        <f>'AWS LLM Pricing'!D9</f>
        <v>0.72</v>
      </c>
      <c r="J10" s="39">
        <f>'AWS LLM Pricing'!E9</f>
        <v>0.72</v>
      </c>
      <c r="K10" s="71">
        <f>((SUM(Per_Agent_Tokens!C:C)+SynthInputTokens)*I10/1000000+(SUM(Per_Agent_Tokens!D:D)+SynthOutputTokens)*J10/1000000)*MonthlyCaseVolume*(1+InfrastructurePct)</f>
        <v>783.5564159999999</v>
      </c>
      <c r="M10" t="str">
        <v>Nova Lite</v>
      </c>
      <c r="N10" s="94">
        <v>1166.524416</v>
      </c>
      <c r="O10" s="8"/>
    </row>
    <row r="11" spans="1:36" x14ac:dyDescent="0.55000000000000004">
      <c r="A11" s="78"/>
      <c r="B11" s="74"/>
      <c r="C11" s="46" t="s">
        <v>35</v>
      </c>
      <c r="D11" s="33">
        <f>(SUM(Per_Agent_Tokens!C:C)+SynthInputTokens)*InputPrice/1000000*MonthlyCaseVolume</f>
        <v>607.3152</v>
      </c>
      <c r="E11" s="279">
        <f>D11/(C4/(1+InfrastructurePct))</f>
        <v>0.56226891353811148</v>
      </c>
      <c r="F11" s="279"/>
      <c r="G11" s="20"/>
      <c r="H11" s="20"/>
      <c r="I11" s="20"/>
      <c r="J11" s="20"/>
      <c r="K11" s="20"/>
      <c r="M11" t="str">
        <v>Nova Micro</v>
      </c>
      <c r="N11" s="94">
        <v>680.472576</v>
      </c>
      <c r="O11" s="8"/>
    </row>
    <row r="12" spans="1:36" ht="15.6" x14ac:dyDescent="0.6">
      <c r="A12" s="79" t="s">
        <v>36</v>
      </c>
      <c r="B12" s="74"/>
      <c r="C12" s="58" t="s">
        <v>37</v>
      </c>
      <c r="D12" s="18">
        <f>(SUM(Per_Agent_Tokens!D:D)+SynthOutputTokens)*OutputPrice/1000000*MonthlyCaseVolume</f>
        <v>472.79999999999995</v>
      </c>
      <c r="E12" s="281">
        <f>D12/(C4/(1+InfrastructurePct))</f>
        <v>0.43773108646188846</v>
      </c>
      <c r="F12" s="281"/>
      <c r="G12" s="20"/>
      <c r="H12" s="275" t="s">
        <v>38</v>
      </c>
      <c r="I12" s="276"/>
      <c r="J12" s="276"/>
      <c r="K12" s="277"/>
      <c r="N12" s="8"/>
      <c r="O12" s="8"/>
    </row>
    <row r="13" spans="1:36" x14ac:dyDescent="0.55000000000000004">
      <c r="A13" s="84" t="s">
        <v>39</v>
      </c>
      <c r="B13" s="74"/>
      <c r="C13" s="46" t="s">
        <v>40</v>
      </c>
      <c r="D13" s="33">
        <f>(D11+D12)*InfrastructurePct</f>
        <v>216.02304000000001</v>
      </c>
      <c r="E13" s="279">
        <f>D13/C4</f>
        <v>0.16666666666666669</v>
      </c>
      <c r="F13" s="279"/>
      <c r="G13" s="20"/>
      <c r="H13" s="60" t="s">
        <v>41</v>
      </c>
      <c r="I13" s="34" t="s">
        <v>42</v>
      </c>
      <c r="J13" s="34" t="s">
        <v>43</v>
      </c>
      <c r="K13" s="63" t="s">
        <v>33</v>
      </c>
      <c r="N13" s="8"/>
      <c r="O13" s="8"/>
    </row>
    <row r="14" spans="1:36" ht="14.7" thickBot="1" x14ac:dyDescent="0.6">
      <c r="A14" s="81">
        <v>6000</v>
      </c>
      <c r="B14" s="74"/>
      <c r="C14" s="59" t="s">
        <v>44</v>
      </c>
      <c r="D14" s="56">
        <f>SUM(D11:D13)</f>
        <v>1296.13824</v>
      </c>
      <c r="E14" s="280">
        <f>SUM(E11:E13)</f>
        <v>1.1666666666666667</v>
      </c>
      <c r="F14" s="280"/>
      <c r="G14" s="20"/>
      <c r="H14" s="68" t="s">
        <v>45</v>
      </c>
      <c r="I14" s="40">
        <f>Category_Breakdown!B2</f>
        <v>7</v>
      </c>
      <c r="J14" s="41">
        <f>Category_Breakdown!E2</f>
        <v>23444</v>
      </c>
      <c r="K14" s="72">
        <f>J14/SUM(Category_Breakdown!E2:E10)</f>
        <v>0.17093817672750075</v>
      </c>
      <c r="N14" s="8"/>
      <c r="O14" s="8"/>
    </row>
    <row r="15" spans="1:36" ht="15" customHeight="1" x14ac:dyDescent="0.55000000000000004">
      <c r="A15" s="84" t="s">
        <v>46</v>
      </c>
      <c r="B15" s="74"/>
      <c r="C15" s="87"/>
      <c r="D15" s="20"/>
      <c r="E15" s="20"/>
      <c r="F15" s="20"/>
      <c r="G15" s="20"/>
      <c r="H15" s="67" t="s">
        <v>47</v>
      </c>
      <c r="I15" s="42">
        <f>Category_Breakdown!B3</f>
        <v>5</v>
      </c>
      <c r="J15" s="43">
        <f>Category_Breakdown!E3</f>
        <v>22087</v>
      </c>
      <c r="K15" s="73">
        <f>J15/SUM(Category_Breakdown!E2:E10)</f>
        <v>0.16104382824519317</v>
      </c>
      <c r="N15" s="8"/>
      <c r="O15" s="8"/>
    </row>
    <row r="16" spans="1:36" ht="15.9" thickBot="1" x14ac:dyDescent="0.65">
      <c r="A16" s="82">
        <v>38</v>
      </c>
      <c r="B16" s="74"/>
      <c r="C16" s="275" t="s">
        <v>48</v>
      </c>
      <c r="D16" s="276"/>
      <c r="E16" s="276"/>
      <c r="F16" s="277"/>
      <c r="G16" s="20"/>
      <c r="H16" s="68" t="s">
        <v>49</v>
      </c>
      <c r="I16" s="40">
        <f>Category_Breakdown!B4</f>
        <v>5</v>
      </c>
      <c r="J16" s="41">
        <f>Category_Breakdown!E4</f>
        <v>19919</v>
      </c>
      <c r="K16" s="72">
        <f>J16/SUM(Category_Breakdown!E2:E10)</f>
        <v>0.14523620296174233</v>
      </c>
      <c r="N16" s="8"/>
      <c r="O16" s="8"/>
    </row>
    <row r="17" spans="1:11" x14ac:dyDescent="0.55000000000000004">
      <c r="A17" s="78"/>
      <c r="B17" s="74"/>
      <c r="C17" s="60" t="s">
        <v>50</v>
      </c>
      <c r="D17" s="34" t="s">
        <v>51</v>
      </c>
      <c r="E17" s="34" t="s">
        <v>52</v>
      </c>
      <c r="F17" s="63" t="s">
        <v>53</v>
      </c>
      <c r="G17" s="20"/>
      <c r="H17" s="67" t="s">
        <v>54</v>
      </c>
      <c r="I17" s="42">
        <f>Category_Breakdown!B5</f>
        <v>5</v>
      </c>
      <c r="J17" s="43">
        <f>Category_Breakdown!E5</f>
        <v>18567</v>
      </c>
      <c r="K17" s="73">
        <f>J17/SUM(Category_Breakdown!E2:E10)</f>
        <v>0.13537831117981175</v>
      </c>
    </row>
    <row r="18" spans="1:11" x14ac:dyDescent="0.55000000000000004">
      <c r="A18" s="79" t="s">
        <v>55</v>
      </c>
      <c r="B18" s="74"/>
      <c r="C18" s="61" t="s">
        <v>56</v>
      </c>
      <c r="D18" s="35">
        <f>Z_Optimization_Scenarios!C2</f>
        <v>137149</v>
      </c>
      <c r="E18" s="36">
        <f>Z_Optimization_Scenarios!D2/100</f>
        <v>0</v>
      </c>
      <c r="F18" s="65">
        <v>0</v>
      </c>
      <c r="G18" s="20"/>
      <c r="H18" s="68" t="s">
        <v>57</v>
      </c>
      <c r="I18" s="40">
        <f>Category_Breakdown!B6</f>
        <v>4</v>
      </c>
      <c r="J18" s="41">
        <f>Category_Breakdown!E6</f>
        <v>16233</v>
      </c>
      <c r="K18" s="72">
        <f>J18/SUM(Category_Breakdown!E2:E10)</f>
        <v>0.11836032344384574</v>
      </c>
    </row>
    <row r="19" spans="1:11" x14ac:dyDescent="0.55000000000000004">
      <c r="A19" s="84" t="s">
        <v>58</v>
      </c>
      <c r="B19" s="74"/>
      <c r="C19" s="62" t="s">
        <v>59</v>
      </c>
      <c r="D19" s="23">
        <f>Z_Optimization_Scenarios!C3</f>
        <v>112114</v>
      </c>
      <c r="E19" s="24">
        <f>Z_Optimization_Scenarios!D3/100</f>
        <v>0.183</v>
      </c>
      <c r="F19" s="64">
        <f>C4*(1-D19/Z_Optimization_Scenarios!C2)</f>
        <v>236.59538777825571</v>
      </c>
      <c r="G19" s="20"/>
      <c r="H19" s="67" t="s">
        <v>60</v>
      </c>
      <c r="I19" s="42">
        <f>Category_Breakdown!B7</f>
        <v>5</v>
      </c>
      <c r="J19" s="43">
        <f>Category_Breakdown!E7</f>
        <v>15564</v>
      </c>
      <c r="K19" s="73">
        <f>J19/SUM(Category_Breakdown!E2:E10)</f>
        <v>0.11348241693340819</v>
      </c>
    </row>
    <row r="20" spans="1:11" ht="14.7" thickBot="1" x14ac:dyDescent="0.6">
      <c r="A20" s="81">
        <v>10000</v>
      </c>
      <c r="B20" s="74"/>
      <c r="C20" s="61" t="s">
        <v>61</v>
      </c>
      <c r="D20" s="35">
        <f>Z_Optimization_Scenarios!C4</f>
        <v>95000</v>
      </c>
      <c r="E20" s="36">
        <f>Z_Optimization_Scenarios!D4/100</f>
        <v>0.307</v>
      </c>
      <c r="F20" s="65">
        <f>C4*(1-D20/Z_Optimization_Scenarios!C2)</f>
        <v>398.33269420673861</v>
      </c>
      <c r="G20" s="20"/>
      <c r="H20" s="68" t="s">
        <v>62</v>
      </c>
      <c r="I20" s="40">
        <f>Category_Breakdown!B8</f>
        <v>3</v>
      </c>
      <c r="J20" s="41">
        <f>Category_Breakdown!E8</f>
        <v>9215</v>
      </c>
      <c r="K20" s="72">
        <f>J20/SUM(Category_Breakdown!E2:E10)</f>
        <v>6.7189698794741487E-2</v>
      </c>
    </row>
    <row r="21" spans="1:11" x14ac:dyDescent="0.55000000000000004">
      <c r="A21" s="84" t="s">
        <v>63</v>
      </c>
      <c r="B21" s="74"/>
      <c r="C21" s="62" t="s">
        <v>64</v>
      </c>
      <c r="D21" s="23">
        <f>Z_Optimization_Scenarios!C5</f>
        <v>85000</v>
      </c>
      <c r="E21" s="24">
        <f>Z_Optimization_Scenarios!D5/100</f>
        <v>0.38</v>
      </c>
      <c r="F21" s="64">
        <f>C4*(1-D21/Z_Optimization_Scenarios!C2)</f>
        <v>492.83854113234514</v>
      </c>
      <c r="G21" s="20"/>
      <c r="H21" s="67" t="s">
        <v>65</v>
      </c>
      <c r="I21" s="42">
        <f>Category_Breakdown!B9</f>
        <v>2</v>
      </c>
      <c r="J21" s="43">
        <f>Category_Breakdown!E9</f>
        <v>6434</v>
      </c>
      <c r="K21" s="73">
        <f>J21/SUM(Category_Breakdown!E2:E10)</f>
        <v>4.6912482045075067E-2</v>
      </c>
    </row>
    <row r="22" spans="1:11" ht="14.7" thickBot="1" x14ac:dyDescent="0.6">
      <c r="A22" s="81">
        <v>4000</v>
      </c>
      <c r="B22" s="74"/>
      <c r="C22" s="96" t="s">
        <v>66</v>
      </c>
      <c r="D22" s="97">
        <f>Z_Optimization_Scenarios!C6</f>
        <v>65000</v>
      </c>
      <c r="E22" s="98">
        <f>Z_Optimization_Scenarios!D6/100</f>
        <v>0.52600000000000002</v>
      </c>
      <c r="F22" s="99">
        <f>C4*(1-D22/Z_Optimization_Scenarios!C2)</f>
        <v>681.85023498355804</v>
      </c>
      <c r="G22" s="20"/>
      <c r="H22" s="68" t="s">
        <v>67</v>
      </c>
      <c r="I22" s="40">
        <f>Category_Breakdown!B10</f>
        <v>2</v>
      </c>
      <c r="J22" s="41">
        <f>Category_Breakdown!E10</f>
        <v>5686</v>
      </c>
      <c r="K22" s="72">
        <f>J22/SUM(Category_Breakdown!E2:E10)</f>
        <v>4.1458559668681505E-2</v>
      </c>
    </row>
    <row r="23" spans="1:11" ht="15" customHeight="1" x14ac:dyDescent="0.55000000000000004">
      <c r="A23" s="84" t="s">
        <v>68</v>
      </c>
      <c r="B23" s="74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5" customHeight="1" thickBot="1" x14ac:dyDescent="0.6">
      <c r="A24" s="83">
        <v>0.2</v>
      </c>
      <c r="B24" s="74"/>
      <c r="C24" s="20"/>
      <c r="D24" s="20"/>
      <c r="E24" s="20"/>
      <c r="F24" s="20"/>
      <c r="G24" s="20"/>
      <c r="H24" s="20"/>
      <c r="I24" s="20"/>
      <c r="J24" s="20"/>
      <c r="K24" s="20"/>
    </row>
    <row r="25" spans="1:11" x14ac:dyDescent="0.55000000000000004">
      <c r="A25" s="19"/>
      <c r="B25" s="74"/>
      <c r="C25" s="20"/>
      <c r="D25" s="20"/>
      <c r="E25" s="20"/>
      <c r="F25" s="20"/>
      <c r="G25" s="20"/>
      <c r="H25" s="20"/>
      <c r="I25" s="20"/>
      <c r="J25" s="20"/>
      <c r="K25" s="20"/>
    </row>
    <row r="26" spans="1:11" x14ac:dyDescent="0.55000000000000004">
      <c r="A26" s="19"/>
      <c r="B26" s="74"/>
      <c r="C26" s="20"/>
      <c r="D26" s="20"/>
      <c r="E26" s="20"/>
      <c r="F26" s="20"/>
      <c r="G26" s="20"/>
      <c r="H26" s="20"/>
      <c r="I26" s="20"/>
      <c r="J26" s="20"/>
      <c r="K26" s="20"/>
    </row>
    <row r="27" spans="1:11" x14ac:dyDescent="0.55000000000000004">
      <c r="A27" s="19"/>
      <c r="B27" s="74"/>
      <c r="C27" s="20"/>
      <c r="D27" s="20"/>
      <c r="E27" s="20"/>
      <c r="F27" s="20"/>
      <c r="G27" s="20"/>
      <c r="H27" s="20"/>
      <c r="I27" s="20"/>
      <c r="J27" s="20"/>
      <c r="K27" s="20"/>
    </row>
    <row r="28" spans="1:11" x14ac:dyDescent="0.55000000000000004">
      <c r="A28" s="19"/>
      <c r="B28" s="74"/>
      <c r="C28" s="20"/>
      <c r="D28" s="20"/>
      <c r="E28" s="20"/>
      <c r="F28" s="20"/>
      <c r="G28" s="20"/>
      <c r="H28" s="20"/>
      <c r="I28" s="20"/>
      <c r="J28" s="20"/>
      <c r="K28" s="20"/>
    </row>
    <row r="29" spans="1:11" x14ac:dyDescent="0.55000000000000004">
      <c r="A29" s="19"/>
      <c r="B29" s="74"/>
      <c r="C29" s="20"/>
      <c r="D29" s="20"/>
      <c r="E29" s="20"/>
      <c r="F29" s="20"/>
      <c r="G29" s="20"/>
      <c r="H29" s="20"/>
      <c r="I29" s="20"/>
      <c r="J29" s="20"/>
      <c r="K29" s="20"/>
    </row>
    <row r="30" spans="1:11" x14ac:dyDescent="0.55000000000000004">
      <c r="A30" s="19"/>
      <c r="B30" s="74"/>
      <c r="C30" s="20"/>
      <c r="D30" s="20"/>
      <c r="E30" s="20"/>
      <c r="F30" s="20"/>
      <c r="G30" s="20"/>
      <c r="H30" s="20"/>
      <c r="I30" s="20"/>
      <c r="J30" s="20"/>
      <c r="K30" s="20"/>
    </row>
    <row r="31" spans="1:11" x14ac:dyDescent="0.55000000000000004">
      <c r="A31" s="19"/>
      <c r="B31" s="74"/>
      <c r="C31" s="87"/>
      <c r="D31" s="20"/>
      <c r="E31" s="20"/>
      <c r="F31" s="20"/>
      <c r="G31" s="20"/>
      <c r="H31" s="20"/>
      <c r="I31" s="20"/>
      <c r="J31" s="20"/>
      <c r="K31" s="20"/>
    </row>
    <row r="32" spans="1:11" x14ac:dyDescent="0.55000000000000004">
      <c r="A32" s="19"/>
      <c r="B32" s="74"/>
      <c r="C32" s="20"/>
      <c r="D32" s="20"/>
      <c r="E32" s="20"/>
      <c r="F32" s="20"/>
      <c r="G32" s="20"/>
      <c r="H32" s="20"/>
      <c r="I32" s="20"/>
      <c r="J32" s="20"/>
      <c r="K32" s="20"/>
    </row>
    <row r="33" spans="1:15" x14ac:dyDescent="0.55000000000000004">
      <c r="A33" s="19"/>
      <c r="B33" s="74"/>
      <c r="C33" s="20"/>
      <c r="D33" s="20"/>
      <c r="E33" s="20"/>
      <c r="F33" s="20"/>
      <c r="G33" s="20"/>
      <c r="H33" s="20"/>
      <c r="I33" s="20"/>
      <c r="J33" s="20"/>
      <c r="K33" s="20"/>
    </row>
    <row r="34" spans="1:15" x14ac:dyDescent="0.55000000000000004">
      <c r="A34" s="19"/>
      <c r="B34" s="74"/>
      <c r="C34" s="20"/>
      <c r="D34" s="20"/>
      <c r="E34" s="20"/>
      <c r="F34" s="20"/>
      <c r="G34" s="20"/>
      <c r="H34" s="20"/>
      <c r="I34" s="20"/>
      <c r="J34" s="20"/>
      <c r="K34" s="20"/>
    </row>
    <row r="35" spans="1:15" x14ac:dyDescent="0.55000000000000004">
      <c r="A35" s="19"/>
      <c r="B35" s="74"/>
      <c r="C35" s="20"/>
      <c r="D35" s="20"/>
      <c r="E35" s="20"/>
      <c r="F35" s="20"/>
      <c r="G35" s="20"/>
      <c r="H35" s="20"/>
      <c r="I35" s="20"/>
      <c r="J35" s="20"/>
      <c r="K35" s="20"/>
    </row>
    <row r="36" spans="1:15" x14ac:dyDescent="0.55000000000000004">
      <c r="A36" s="19"/>
      <c r="B36" s="74"/>
      <c r="C36" s="20"/>
      <c r="D36" s="20"/>
      <c r="E36" s="20"/>
      <c r="F36" s="20"/>
      <c r="G36" s="20"/>
      <c r="H36" s="20"/>
      <c r="I36" s="20"/>
      <c r="J36" s="20"/>
      <c r="K36" s="20"/>
    </row>
    <row r="37" spans="1:15" x14ac:dyDescent="0.55000000000000004">
      <c r="A37" s="19"/>
      <c r="B37" s="74"/>
      <c r="C37" s="20"/>
      <c r="D37" s="20"/>
      <c r="E37" s="20"/>
      <c r="F37" s="20"/>
      <c r="G37" s="20"/>
      <c r="H37" s="20"/>
      <c r="I37" s="20"/>
      <c r="J37" s="20"/>
      <c r="K37" s="20"/>
    </row>
    <row r="38" spans="1:15" x14ac:dyDescent="0.55000000000000004">
      <c r="A38" s="19"/>
      <c r="B38" s="74"/>
      <c r="C38" s="20"/>
      <c r="D38" s="20"/>
      <c r="E38" s="20"/>
      <c r="F38" s="20"/>
      <c r="G38" s="20"/>
      <c r="H38" s="20"/>
      <c r="I38" s="20"/>
      <c r="J38" s="20"/>
      <c r="K38" s="20"/>
    </row>
    <row r="39" spans="1:15" x14ac:dyDescent="0.55000000000000004">
      <c r="A39" s="19"/>
      <c r="B39" s="74"/>
      <c r="C39" s="20"/>
      <c r="D39" s="20"/>
      <c r="E39" s="20"/>
      <c r="F39" s="20"/>
      <c r="G39" s="20"/>
      <c r="H39" s="20"/>
      <c r="I39" s="20"/>
      <c r="J39" s="20"/>
      <c r="K39" s="20"/>
    </row>
    <row r="41" spans="1:15" ht="18.3" x14ac:dyDescent="0.7">
      <c r="C41" s="271" t="s">
        <v>69</v>
      </c>
      <c r="D41" s="271"/>
      <c r="E41" s="271"/>
      <c r="F41" s="271"/>
      <c r="G41" s="271"/>
      <c r="H41" s="271"/>
      <c r="I41" s="271"/>
      <c r="J41" s="271"/>
      <c r="K41" s="271"/>
      <c r="L41" s="271"/>
      <c r="M41" s="271"/>
      <c r="N41" s="271"/>
      <c r="O41" s="271"/>
    </row>
    <row r="42" spans="1:15" ht="15.6" x14ac:dyDescent="0.6">
      <c r="C42" s="278" t="s">
        <v>70</v>
      </c>
      <c r="D42" s="278"/>
      <c r="E42" s="278"/>
      <c r="F42" s="278"/>
      <c r="G42" s="278"/>
      <c r="H42" s="278"/>
      <c r="I42" s="278"/>
      <c r="J42" s="278"/>
      <c r="K42" s="278"/>
      <c r="L42" s="278"/>
      <c r="M42" s="278"/>
      <c r="N42" s="278"/>
      <c r="O42" s="278"/>
    </row>
    <row r="43" spans="1:15" x14ac:dyDescent="0.55000000000000004">
      <c r="C43" s="88" t="s">
        <v>5</v>
      </c>
      <c r="D43" s="88" t="s">
        <v>71</v>
      </c>
      <c r="E43" s="88" t="s">
        <v>72</v>
      </c>
      <c r="F43" s="88" t="s">
        <v>73</v>
      </c>
      <c r="G43" s="88" t="s">
        <v>74</v>
      </c>
      <c r="H43" s="88" t="s">
        <v>75</v>
      </c>
      <c r="I43" s="88" t="s">
        <v>76</v>
      </c>
      <c r="J43" s="88" t="s">
        <v>77</v>
      </c>
      <c r="K43" s="88" t="s">
        <v>78</v>
      </c>
      <c r="L43" s="88" t="s">
        <v>79</v>
      </c>
      <c r="M43" s="88" t="s">
        <v>80</v>
      </c>
      <c r="N43" s="88" t="s">
        <v>81</v>
      </c>
      <c r="O43" s="91" t="s">
        <v>82</v>
      </c>
    </row>
    <row r="44" spans="1:15" x14ac:dyDescent="0.55000000000000004">
      <c r="C44" s="86" t="str">
        <f t="shared" ref="C44:C51" si="5">H3</f>
        <v>Claude Haiku 4.5</v>
      </c>
      <c r="D44" s="89">
        <f t="shared" ref="D44:D51" si="6">K3*1</f>
        <v>1797.4728</v>
      </c>
      <c r="E44" s="89">
        <f t="shared" ref="E44:E51" si="7">K3*2</f>
        <v>3594.9456</v>
      </c>
      <c r="F44" s="89">
        <f t="shared" ref="F44:F51" si="8">K3*3</f>
        <v>5392.4184000000005</v>
      </c>
      <c r="G44" s="89">
        <f t="shared" ref="G44:G51" si="9">K3*4</f>
        <v>7189.8912</v>
      </c>
      <c r="H44" s="89">
        <f t="shared" ref="H44:H51" si="10">K3*5</f>
        <v>8987.3639999999996</v>
      </c>
      <c r="I44" s="89">
        <f t="shared" ref="I44:I51" si="11">K3*6</f>
        <v>10784.836800000001</v>
      </c>
      <c r="J44" s="89">
        <f t="shared" ref="J44:J51" si="12">K3*7</f>
        <v>12582.309600000001</v>
      </c>
      <c r="K44" s="89">
        <f t="shared" ref="K44:K51" si="13">K3*8</f>
        <v>14379.7824</v>
      </c>
      <c r="L44" s="89">
        <f t="shared" ref="L44:L51" si="14">K3*9</f>
        <v>16177.2552</v>
      </c>
      <c r="M44" s="89">
        <f t="shared" ref="M44:M51" si="15">K3*10</f>
        <v>17974.727999999999</v>
      </c>
      <c r="N44" s="89">
        <f t="shared" ref="N44:N51" si="16">K3*11</f>
        <v>19772.200799999999</v>
      </c>
      <c r="O44" s="92">
        <f t="shared" ref="O44:O51" si="17">K3*12</f>
        <v>21569.673600000002</v>
      </c>
    </row>
    <row r="45" spans="1:15" x14ac:dyDescent="0.55000000000000004">
      <c r="C45" s="10" t="str">
        <f t="shared" si="5"/>
        <v>Claude Sonnet 4.6</v>
      </c>
      <c r="D45" s="90">
        <f t="shared" si="6"/>
        <v>5392.4183999999996</v>
      </c>
      <c r="E45" s="90">
        <f t="shared" si="7"/>
        <v>10784.836799999999</v>
      </c>
      <c r="F45" s="90">
        <f t="shared" si="8"/>
        <v>16177.2552</v>
      </c>
      <c r="G45" s="90">
        <f t="shared" si="9"/>
        <v>21569.673599999998</v>
      </c>
      <c r="H45" s="90">
        <f t="shared" si="10"/>
        <v>26962.091999999997</v>
      </c>
      <c r="I45" s="90">
        <f t="shared" si="11"/>
        <v>32354.510399999999</v>
      </c>
      <c r="J45" s="90">
        <f t="shared" si="12"/>
        <v>37746.928799999994</v>
      </c>
      <c r="K45" s="90">
        <f t="shared" si="13"/>
        <v>43139.347199999997</v>
      </c>
      <c r="L45" s="90">
        <f t="shared" si="14"/>
        <v>48531.765599999999</v>
      </c>
      <c r="M45" s="90">
        <f t="shared" si="15"/>
        <v>53924.183999999994</v>
      </c>
      <c r="N45" s="90">
        <f t="shared" si="16"/>
        <v>59316.602399999996</v>
      </c>
      <c r="O45" s="92">
        <f t="shared" si="17"/>
        <v>64709.020799999998</v>
      </c>
    </row>
    <row r="46" spans="1:15" x14ac:dyDescent="0.55000000000000004">
      <c r="C46" s="86" t="str">
        <f t="shared" si="5"/>
        <v>Claude Opus 4.7</v>
      </c>
      <c r="D46" s="89">
        <f t="shared" si="6"/>
        <v>8987.3639999999996</v>
      </c>
      <c r="E46" s="89">
        <f t="shared" si="7"/>
        <v>17974.727999999999</v>
      </c>
      <c r="F46" s="89">
        <f t="shared" si="8"/>
        <v>26962.091999999997</v>
      </c>
      <c r="G46" s="89">
        <f t="shared" si="9"/>
        <v>35949.455999999998</v>
      </c>
      <c r="H46" s="89">
        <f t="shared" si="10"/>
        <v>44936.82</v>
      </c>
      <c r="I46" s="89">
        <f t="shared" si="11"/>
        <v>53924.183999999994</v>
      </c>
      <c r="J46" s="89">
        <f t="shared" si="12"/>
        <v>62911.547999999995</v>
      </c>
      <c r="K46" s="89">
        <f t="shared" si="13"/>
        <v>71898.911999999997</v>
      </c>
      <c r="L46" s="89">
        <f t="shared" si="14"/>
        <v>80886.275999999998</v>
      </c>
      <c r="M46" s="89">
        <f t="shared" si="15"/>
        <v>89873.64</v>
      </c>
      <c r="N46" s="89">
        <f t="shared" si="16"/>
        <v>98861.004000000001</v>
      </c>
      <c r="O46" s="92">
        <f t="shared" si="17"/>
        <v>107848.36799999999</v>
      </c>
    </row>
    <row r="47" spans="1:15" x14ac:dyDescent="0.55000000000000004">
      <c r="C47" s="10" t="str">
        <f t="shared" si="5"/>
        <v>Nova Micro</v>
      </c>
      <c r="D47" s="90">
        <f t="shared" si="6"/>
        <v>56.706048000000003</v>
      </c>
      <c r="E47" s="90">
        <f t="shared" si="7"/>
        <v>113.41209600000001</v>
      </c>
      <c r="F47" s="90">
        <f t="shared" si="8"/>
        <v>170.118144</v>
      </c>
      <c r="G47" s="90">
        <f t="shared" si="9"/>
        <v>226.82419200000001</v>
      </c>
      <c r="H47" s="90">
        <f t="shared" si="10"/>
        <v>283.53023999999999</v>
      </c>
      <c r="I47" s="90">
        <f t="shared" si="11"/>
        <v>340.236288</v>
      </c>
      <c r="J47" s="90">
        <f t="shared" si="12"/>
        <v>396.94233600000001</v>
      </c>
      <c r="K47" s="90">
        <f t="shared" si="13"/>
        <v>453.64838400000002</v>
      </c>
      <c r="L47" s="90">
        <f t="shared" si="14"/>
        <v>510.35443200000003</v>
      </c>
      <c r="M47" s="90">
        <f t="shared" si="15"/>
        <v>567.06047999999998</v>
      </c>
      <c r="N47" s="90">
        <f t="shared" si="16"/>
        <v>623.76652799999999</v>
      </c>
      <c r="O47" s="92">
        <f t="shared" si="17"/>
        <v>680.472576</v>
      </c>
    </row>
    <row r="48" spans="1:15" x14ac:dyDescent="0.55000000000000004">
      <c r="C48" s="86" t="str">
        <f t="shared" si="5"/>
        <v>Nova Lite</v>
      </c>
      <c r="D48" s="89">
        <f t="shared" si="6"/>
        <v>97.210368000000003</v>
      </c>
      <c r="E48" s="89">
        <f t="shared" si="7"/>
        <v>194.42073600000001</v>
      </c>
      <c r="F48" s="89">
        <f t="shared" si="8"/>
        <v>291.63110399999999</v>
      </c>
      <c r="G48" s="89">
        <f t="shared" si="9"/>
        <v>388.84147200000001</v>
      </c>
      <c r="H48" s="89">
        <f t="shared" si="10"/>
        <v>486.05184000000003</v>
      </c>
      <c r="I48" s="89">
        <f t="shared" si="11"/>
        <v>583.26220799999999</v>
      </c>
      <c r="J48" s="89">
        <f t="shared" si="12"/>
        <v>680.472576</v>
      </c>
      <c r="K48" s="89">
        <f t="shared" si="13"/>
        <v>777.68294400000002</v>
      </c>
      <c r="L48" s="89">
        <f t="shared" si="14"/>
        <v>874.89331200000004</v>
      </c>
      <c r="M48" s="89">
        <f t="shared" si="15"/>
        <v>972.10368000000005</v>
      </c>
      <c r="N48" s="89">
        <f t="shared" si="16"/>
        <v>1069.314048</v>
      </c>
      <c r="O48" s="92">
        <f t="shared" si="17"/>
        <v>1166.524416</v>
      </c>
    </row>
    <row r="49" spans="3:15" x14ac:dyDescent="0.55000000000000004">
      <c r="C49" s="10" t="str">
        <f t="shared" si="5"/>
        <v>Nova Pro</v>
      </c>
      <c r="D49" s="90">
        <f t="shared" si="6"/>
        <v>1296.13824</v>
      </c>
      <c r="E49" s="90">
        <f t="shared" si="7"/>
        <v>2592.27648</v>
      </c>
      <c r="F49" s="90">
        <f t="shared" si="8"/>
        <v>3888.4147199999998</v>
      </c>
      <c r="G49" s="90">
        <f t="shared" si="9"/>
        <v>5184.55296</v>
      </c>
      <c r="H49" s="90">
        <f t="shared" si="10"/>
        <v>6480.6912000000002</v>
      </c>
      <c r="I49" s="90">
        <f t="shared" si="11"/>
        <v>7776.8294399999995</v>
      </c>
      <c r="J49" s="90">
        <f t="shared" si="12"/>
        <v>9072.9676799999997</v>
      </c>
      <c r="K49" s="90">
        <f t="shared" si="13"/>
        <v>10369.10592</v>
      </c>
      <c r="L49" s="90">
        <f t="shared" si="14"/>
        <v>11665.24416</v>
      </c>
      <c r="M49" s="90">
        <f t="shared" si="15"/>
        <v>12961.3824</v>
      </c>
      <c r="N49" s="90">
        <f t="shared" si="16"/>
        <v>14257.520640000001</v>
      </c>
      <c r="O49" s="92">
        <f t="shared" si="17"/>
        <v>15553.658879999999</v>
      </c>
    </row>
    <row r="50" spans="3:15" x14ac:dyDescent="0.55000000000000004">
      <c r="C50" s="86" t="str">
        <f t="shared" si="5"/>
        <v>Nova Premier</v>
      </c>
      <c r="D50" s="89">
        <f t="shared" si="6"/>
        <v>4493.6819999999998</v>
      </c>
      <c r="E50" s="89">
        <f t="shared" si="7"/>
        <v>8987.3639999999996</v>
      </c>
      <c r="F50" s="89">
        <f t="shared" si="8"/>
        <v>13481.045999999998</v>
      </c>
      <c r="G50" s="89">
        <f t="shared" si="9"/>
        <v>17974.727999999999</v>
      </c>
      <c r="H50" s="89">
        <f t="shared" si="10"/>
        <v>22468.41</v>
      </c>
      <c r="I50" s="89">
        <f t="shared" si="11"/>
        <v>26962.091999999997</v>
      </c>
      <c r="J50" s="89">
        <f t="shared" si="12"/>
        <v>31455.773999999998</v>
      </c>
      <c r="K50" s="89">
        <f t="shared" si="13"/>
        <v>35949.455999999998</v>
      </c>
      <c r="L50" s="89">
        <f t="shared" si="14"/>
        <v>40443.137999999999</v>
      </c>
      <c r="M50" s="89">
        <f t="shared" si="15"/>
        <v>44936.82</v>
      </c>
      <c r="N50" s="89">
        <f t="shared" si="16"/>
        <v>49430.502</v>
      </c>
      <c r="O50" s="92">
        <f t="shared" si="17"/>
        <v>53924.183999999994</v>
      </c>
    </row>
    <row r="51" spans="3:15" x14ac:dyDescent="0.55000000000000004">
      <c r="C51" s="10" t="str">
        <f t="shared" si="5"/>
        <v>Llama 3.3 70B</v>
      </c>
      <c r="D51" s="90">
        <f t="shared" si="6"/>
        <v>783.5564159999999</v>
      </c>
      <c r="E51" s="90">
        <f t="shared" si="7"/>
        <v>1567.1128319999998</v>
      </c>
      <c r="F51" s="90">
        <f t="shared" si="8"/>
        <v>2350.6692479999997</v>
      </c>
      <c r="G51" s="90">
        <f t="shared" si="9"/>
        <v>3134.2256639999996</v>
      </c>
      <c r="H51" s="90">
        <f t="shared" si="10"/>
        <v>3917.7820799999995</v>
      </c>
      <c r="I51" s="90">
        <f t="shared" si="11"/>
        <v>4701.3384959999994</v>
      </c>
      <c r="J51" s="90">
        <f t="shared" si="12"/>
        <v>5484.8949119999997</v>
      </c>
      <c r="K51" s="90">
        <f t="shared" si="13"/>
        <v>6268.4513279999992</v>
      </c>
      <c r="L51" s="90">
        <f t="shared" si="14"/>
        <v>7052.0077439999986</v>
      </c>
      <c r="M51" s="90">
        <f t="shared" si="15"/>
        <v>7835.564159999999</v>
      </c>
      <c r="N51" s="90">
        <f t="shared" si="16"/>
        <v>8619.1205759999993</v>
      </c>
      <c r="O51" s="92">
        <f t="shared" si="17"/>
        <v>9402.6769919999988</v>
      </c>
    </row>
    <row r="52" spans="3:15" x14ac:dyDescent="0.55000000000000004">
      <c r="L52"/>
    </row>
    <row r="53" spans="3:15" x14ac:dyDescent="0.55000000000000004">
      <c r="L53"/>
    </row>
    <row r="54" spans="3:15" x14ac:dyDescent="0.55000000000000004">
      <c r="L54"/>
    </row>
    <row r="55" spans="3:15" x14ac:dyDescent="0.55000000000000004">
      <c r="L55"/>
    </row>
    <row r="56" spans="3:15" x14ac:dyDescent="0.55000000000000004">
      <c r="L56"/>
    </row>
    <row r="57" spans="3:15" x14ac:dyDescent="0.55000000000000004">
      <c r="L57"/>
    </row>
    <row r="58" spans="3:15" x14ac:dyDescent="0.55000000000000004">
      <c r="L58"/>
    </row>
    <row r="59" spans="3:15" x14ac:dyDescent="0.55000000000000004">
      <c r="L59"/>
    </row>
    <row r="60" spans="3:15" x14ac:dyDescent="0.55000000000000004">
      <c r="L60"/>
    </row>
    <row r="61" spans="3:15" x14ac:dyDescent="0.55000000000000004">
      <c r="L61"/>
    </row>
    <row r="62" spans="3:15" x14ac:dyDescent="0.55000000000000004">
      <c r="L62"/>
    </row>
    <row r="63" spans="3:15" x14ac:dyDescent="0.55000000000000004">
      <c r="L63"/>
    </row>
    <row r="64" spans="3:15" x14ac:dyDescent="0.55000000000000004">
      <c r="L64"/>
    </row>
    <row r="65" spans="12:12" x14ac:dyDescent="0.55000000000000004">
      <c r="L65"/>
    </row>
    <row r="66" spans="12:12" x14ac:dyDescent="0.55000000000000004">
      <c r="L66"/>
    </row>
    <row r="67" spans="12:12" x14ac:dyDescent="0.55000000000000004">
      <c r="L67"/>
    </row>
    <row r="68" spans="12:12" x14ac:dyDescent="0.55000000000000004">
      <c r="L68"/>
    </row>
    <row r="69" spans="12:12" x14ac:dyDescent="0.55000000000000004">
      <c r="L69"/>
    </row>
    <row r="70" spans="12:12" x14ac:dyDescent="0.55000000000000004">
      <c r="L70"/>
    </row>
    <row r="71" spans="12:12" x14ac:dyDescent="0.55000000000000004">
      <c r="L71"/>
    </row>
    <row r="72" spans="12:12" x14ac:dyDescent="0.55000000000000004">
      <c r="L72"/>
    </row>
    <row r="73" spans="12:12" x14ac:dyDescent="0.55000000000000004">
      <c r="L73"/>
    </row>
    <row r="74" spans="12:12" x14ac:dyDescent="0.55000000000000004">
      <c r="L74"/>
    </row>
    <row r="75" spans="12:12" x14ac:dyDescent="0.55000000000000004">
      <c r="L75"/>
    </row>
    <row r="76" spans="12:12" x14ac:dyDescent="0.55000000000000004">
      <c r="L76"/>
    </row>
    <row r="77" spans="12:12" x14ac:dyDescent="0.55000000000000004">
      <c r="L77"/>
    </row>
    <row r="78" spans="12:12" x14ac:dyDescent="0.55000000000000004">
      <c r="L78"/>
    </row>
    <row r="79" spans="12:12" x14ac:dyDescent="0.55000000000000004">
      <c r="L79"/>
    </row>
    <row r="80" spans="12:12" x14ac:dyDescent="0.55000000000000004">
      <c r="L80"/>
    </row>
    <row r="81" spans="3:12" x14ac:dyDescent="0.55000000000000004">
      <c r="L81"/>
    </row>
    <row r="84" spans="3:12" ht="18.3" x14ac:dyDescent="0.7">
      <c r="C84" s="108" t="s">
        <v>146</v>
      </c>
      <c r="D84" s="100"/>
      <c r="E84" s="100"/>
      <c r="F84" s="100"/>
      <c r="G84" s="100"/>
      <c r="H84" s="100"/>
      <c r="I84" s="100"/>
      <c r="J84" s="100"/>
      <c r="K84" s="100"/>
      <c r="L84" s="100"/>
    </row>
    <row r="85" spans="3:12" x14ac:dyDescent="0.55000000000000004">
      <c r="C85" s="105" t="s">
        <v>147</v>
      </c>
      <c r="D85" s="74"/>
      <c r="E85" s="74"/>
      <c r="F85" s="74"/>
      <c r="G85" s="74"/>
      <c r="H85" s="74"/>
      <c r="I85" s="74"/>
      <c r="J85" s="74"/>
      <c r="K85" s="74"/>
      <c r="L85" s="74"/>
    </row>
    <row r="86" spans="3:12" x14ac:dyDescent="0.55000000000000004">
      <c r="C86" s="104" t="s">
        <v>5</v>
      </c>
      <c r="D86" s="104" t="s">
        <v>106</v>
      </c>
      <c r="E86" s="104" t="s">
        <v>107</v>
      </c>
      <c r="F86" s="104" t="s">
        <v>108</v>
      </c>
      <c r="G86" s="104" t="s">
        <v>148</v>
      </c>
      <c r="H86" s="104" t="s">
        <v>32</v>
      </c>
      <c r="I86" s="104" t="s">
        <v>16</v>
      </c>
      <c r="J86" s="104" t="s">
        <v>149</v>
      </c>
      <c r="K86" s="104" t="s">
        <v>150</v>
      </c>
      <c r="L86" s="104" t="s">
        <v>151</v>
      </c>
    </row>
    <row r="87" spans="3:12" x14ac:dyDescent="0.55000000000000004">
      <c r="C87" s="109" t="s">
        <v>88</v>
      </c>
      <c r="D87" s="110">
        <v>5.7180000000000002E-2</v>
      </c>
      <c r="E87" s="111">
        <v>1.95</v>
      </c>
      <c r="F87" s="111">
        <f t="shared" ref="F87:F92" si="18">D87*60</f>
        <v>3.4308000000000001</v>
      </c>
      <c r="G87" s="111">
        <f t="shared" ref="G87:G92" si="19">F87*24</f>
        <v>82.339200000000005</v>
      </c>
      <c r="H87" s="112">
        <f t="shared" ref="H87:H92" si="20">G87*30+E87</f>
        <v>2472.1260000000002</v>
      </c>
      <c r="I87" s="112">
        <f t="shared" ref="I87:I92" si="21">H87*12</f>
        <v>29665.512000000002</v>
      </c>
      <c r="J87" s="113">
        <f t="shared" ref="J87:J92" si="22">H87/$D$4</f>
        <v>11443.807105019911</v>
      </c>
      <c r="K87" s="111">
        <f t="shared" ref="K87:K92" si="23">H87/$A$14</f>
        <v>0.41202100000000003</v>
      </c>
      <c r="L87" s="114">
        <f t="shared" ref="L87:L92" si="24">K87/$D$4</f>
        <v>1.907301184169985</v>
      </c>
    </row>
    <row r="88" spans="3:12" x14ac:dyDescent="0.55000000000000004">
      <c r="C88" s="115" t="s">
        <v>111</v>
      </c>
      <c r="D88" s="116">
        <v>5.7180000000000002E-2</v>
      </c>
      <c r="E88" s="117">
        <v>1.95</v>
      </c>
      <c r="F88" s="117">
        <f t="shared" si="18"/>
        <v>3.4308000000000001</v>
      </c>
      <c r="G88" s="117">
        <f t="shared" si="19"/>
        <v>82.339200000000005</v>
      </c>
      <c r="H88" s="118">
        <f t="shared" si="20"/>
        <v>2472.1260000000002</v>
      </c>
      <c r="I88" s="118">
        <f t="shared" si="21"/>
        <v>29665.512000000002</v>
      </c>
      <c r="J88" s="119">
        <f t="shared" si="22"/>
        <v>11443.807105019911</v>
      </c>
      <c r="K88" s="117">
        <f t="shared" si="23"/>
        <v>0.41202100000000003</v>
      </c>
      <c r="L88" s="120">
        <f t="shared" si="24"/>
        <v>1.907301184169985</v>
      </c>
    </row>
    <row r="89" spans="3:12" x14ac:dyDescent="0.55000000000000004">
      <c r="C89" s="109" t="s">
        <v>112</v>
      </c>
      <c r="D89" s="110">
        <v>5.7180000000000002E-2</v>
      </c>
      <c r="E89" s="111">
        <v>1.95</v>
      </c>
      <c r="F89" s="111">
        <f t="shared" si="18"/>
        <v>3.4308000000000001</v>
      </c>
      <c r="G89" s="111">
        <f t="shared" si="19"/>
        <v>82.339200000000005</v>
      </c>
      <c r="H89" s="112">
        <f t="shared" si="20"/>
        <v>2472.1260000000002</v>
      </c>
      <c r="I89" s="112">
        <f t="shared" si="21"/>
        <v>29665.512000000002</v>
      </c>
      <c r="J89" s="113">
        <f t="shared" si="22"/>
        <v>11443.807105019911</v>
      </c>
      <c r="K89" s="111">
        <f t="shared" si="23"/>
        <v>0.41202100000000003</v>
      </c>
      <c r="L89" s="114">
        <f t="shared" si="24"/>
        <v>1.907301184169985</v>
      </c>
    </row>
    <row r="90" spans="3:12" x14ac:dyDescent="0.55000000000000004">
      <c r="C90" s="115" t="s">
        <v>115</v>
      </c>
      <c r="D90" s="116">
        <v>5.7180000000000002E-2</v>
      </c>
      <c r="E90" s="117">
        <v>1.95</v>
      </c>
      <c r="F90" s="117">
        <f t="shared" si="18"/>
        <v>3.4308000000000001</v>
      </c>
      <c r="G90" s="117">
        <f t="shared" si="19"/>
        <v>82.339200000000005</v>
      </c>
      <c r="H90" s="118">
        <f t="shared" si="20"/>
        <v>2472.1260000000002</v>
      </c>
      <c r="I90" s="118">
        <f t="shared" si="21"/>
        <v>29665.512000000002</v>
      </c>
      <c r="J90" s="119">
        <f t="shared" si="22"/>
        <v>11443.807105019911</v>
      </c>
      <c r="K90" s="117">
        <f t="shared" si="23"/>
        <v>0.41202100000000003</v>
      </c>
      <c r="L90" s="120">
        <f t="shared" si="24"/>
        <v>1.907301184169985</v>
      </c>
    </row>
    <row r="91" spans="3:12" x14ac:dyDescent="0.55000000000000004">
      <c r="C91" s="109" t="s">
        <v>116</v>
      </c>
      <c r="D91" s="110">
        <v>5.7180000000000002E-2</v>
      </c>
      <c r="E91" s="111">
        <v>1.95</v>
      </c>
      <c r="F91" s="111">
        <f t="shared" si="18"/>
        <v>3.4308000000000001</v>
      </c>
      <c r="G91" s="111">
        <f t="shared" si="19"/>
        <v>82.339200000000005</v>
      </c>
      <c r="H91" s="112">
        <f t="shared" si="20"/>
        <v>2472.1260000000002</v>
      </c>
      <c r="I91" s="112">
        <f t="shared" si="21"/>
        <v>29665.512000000002</v>
      </c>
      <c r="J91" s="113">
        <f t="shared" si="22"/>
        <v>11443.807105019911</v>
      </c>
      <c r="K91" s="111">
        <f t="shared" si="23"/>
        <v>0.41202100000000003</v>
      </c>
      <c r="L91" s="114">
        <f t="shared" si="24"/>
        <v>1.907301184169985</v>
      </c>
    </row>
    <row r="92" spans="3:12" x14ac:dyDescent="0.55000000000000004">
      <c r="C92" s="121" t="s">
        <v>117</v>
      </c>
      <c r="D92" s="122">
        <v>0.14330000000000001</v>
      </c>
      <c r="E92" s="123">
        <v>1.95</v>
      </c>
      <c r="F92" s="123">
        <f t="shared" si="18"/>
        <v>8.5980000000000008</v>
      </c>
      <c r="G92" s="123">
        <f t="shared" si="19"/>
        <v>206.35200000000003</v>
      </c>
      <c r="H92" s="124">
        <f t="shared" si="20"/>
        <v>6192.5100000000011</v>
      </c>
      <c r="I92" s="124">
        <f t="shared" si="21"/>
        <v>74310.12000000001</v>
      </c>
      <c r="J92" s="125">
        <f t="shared" si="22"/>
        <v>28665.97007430319</v>
      </c>
      <c r="K92" s="123">
        <f t="shared" si="23"/>
        <v>1.0320850000000001</v>
      </c>
      <c r="L92" s="126">
        <f t="shared" si="24"/>
        <v>4.7776616790505315</v>
      </c>
    </row>
    <row r="93" spans="3:12" x14ac:dyDescent="0.55000000000000004">
      <c r="L93"/>
    </row>
    <row r="94" spans="3:12" ht="15.6" x14ac:dyDescent="0.6">
      <c r="C94" s="31" t="s">
        <v>152</v>
      </c>
      <c r="D94" s="100"/>
      <c r="E94" s="100"/>
      <c r="F94" s="100"/>
      <c r="G94" s="100"/>
      <c r="H94" s="100"/>
      <c r="I94" s="100"/>
      <c r="J94" s="100"/>
      <c r="K94" s="100"/>
      <c r="L94" s="100"/>
    </row>
    <row r="95" spans="3:12" x14ac:dyDescent="0.55000000000000004">
      <c r="C95" s="105" t="s">
        <v>153</v>
      </c>
      <c r="D95" s="74"/>
      <c r="E95" s="74"/>
      <c r="F95" s="74"/>
      <c r="G95" s="74"/>
      <c r="H95" s="74"/>
      <c r="I95" s="74"/>
      <c r="J95" s="74"/>
      <c r="K95" s="74"/>
      <c r="L95" s="74"/>
    </row>
    <row r="96" spans="3:12" x14ac:dyDescent="0.55000000000000004">
      <c r="C96" s="104" t="s">
        <v>97</v>
      </c>
      <c r="D96" s="104" t="s">
        <v>5</v>
      </c>
      <c r="E96" s="104" t="s">
        <v>32</v>
      </c>
      <c r="F96" s="104" t="s">
        <v>16</v>
      </c>
      <c r="G96" s="104" t="s">
        <v>110</v>
      </c>
      <c r="H96" s="104" t="s">
        <v>154</v>
      </c>
      <c r="I96" s="104" t="s">
        <v>155</v>
      </c>
      <c r="J96" s="104" t="s">
        <v>156</v>
      </c>
      <c r="L96"/>
    </row>
    <row r="97" spans="3:12" x14ac:dyDescent="0.55000000000000004">
      <c r="C97" s="127" t="s">
        <v>157</v>
      </c>
      <c r="D97" s="127" t="s">
        <v>158</v>
      </c>
      <c r="E97" s="128">
        <f>H87</f>
        <v>2472.1260000000002</v>
      </c>
      <c r="F97" s="128">
        <f>I87</f>
        <v>29665.512000000002</v>
      </c>
      <c r="G97" s="129">
        <f>K87</f>
        <v>0.41202100000000003</v>
      </c>
      <c r="H97" s="127" t="s">
        <v>159</v>
      </c>
      <c r="I97" s="127" t="s">
        <v>160</v>
      </c>
      <c r="J97" s="127" t="s">
        <v>161</v>
      </c>
      <c r="L97"/>
    </row>
    <row r="98" spans="3:12" x14ac:dyDescent="0.55000000000000004">
      <c r="C98" s="127" t="s">
        <v>157</v>
      </c>
      <c r="D98" s="127" t="s">
        <v>162</v>
      </c>
      <c r="E98" s="128">
        <f>H92</f>
        <v>6192.5100000000011</v>
      </c>
      <c r="F98" s="128">
        <f>I92</f>
        <v>74310.12000000001</v>
      </c>
      <c r="G98" s="129">
        <f>K92</f>
        <v>1.0320850000000001</v>
      </c>
      <c r="H98" s="127" t="s">
        <v>159</v>
      </c>
      <c r="I98" s="127" t="s">
        <v>163</v>
      </c>
      <c r="J98" s="127" t="s">
        <v>164</v>
      </c>
      <c r="L98"/>
    </row>
    <row r="99" spans="3:12" x14ac:dyDescent="0.55000000000000004">
      <c r="C99" s="130" t="s">
        <v>165</v>
      </c>
      <c r="D99" s="130" t="s">
        <v>24</v>
      </c>
      <c r="E99" s="131">
        <f>K6</f>
        <v>56.706048000000003</v>
      </c>
      <c r="F99" s="131">
        <f>K6*12</f>
        <v>680.472576</v>
      </c>
      <c r="G99" s="132">
        <f>K6/$A$14</f>
        <v>9.4510080000000003E-3</v>
      </c>
      <c r="H99" s="130" t="s">
        <v>166</v>
      </c>
      <c r="I99" s="130" t="s">
        <v>167</v>
      </c>
      <c r="J99" s="130" t="s">
        <v>168</v>
      </c>
      <c r="L99"/>
    </row>
    <row r="100" spans="3:12" x14ac:dyDescent="0.55000000000000004">
      <c r="C100" s="133" t="s">
        <v>165</v>
      </c>
      <c r="D100" s="133" t="s">
        <v>27</v>
      </c>
      <c r="E100" s="134">
        <f>K8</f>
        <v>1296.13824</v>
      </c>
      <c r="F100" s="134">
        <f>K8*12</f>
        <v>15553.658879999999</v>
      </c>
      <c r="G100" s="135">
        <f>K8/$A$14</f>
        <v>0.21602304</v>
      </c>
      <c r="H100" s="133" t="s">
        <v>166</v>
      </c>
      <c r="I100" s="133" t="s">
        <v>169</v>
      </c>
      <c r="J100" s="133" t="s">
        <v>170</v>
      </c>
      <c r="L100"/>
    </row>
    <row r="101" spans="3:12" x14ac:dyDescent="0.55000000000000004">
      <c r="C101" s="133" t="s">
        <v>165</v>
      </c>
      <c r="D101" s="133" t="s">
        <v>34</v>
      </c>
      <c r="E101" s="134">
        <f>K10</f>
        <v>783.5564159999999</v>
      </c>
      <c r="F101" s="134">
        <f>K10*12</f>
        <v>9402.6769919999988</v>
      </c>
      <c r="G101" s="135">
        <f>K10/$A$14</f>
        <v>0.13059273599999999</v>
      </c>
      <c r="H101" s="133" t="s">
        <v>166</v>
      </c>
      <c r="I101" s="133" t="s">
        <v>171</v>
      </c>
      <c r="J101" s="133" t="s">
        <v>172</v>
      </c>
      <c r="L101"/>
    </row>
    <row r="102" spans="3:12" x14ac:dyDescent="0.55000000000000004">
      <c r="C102" s="133" t="s">
        <v>165</v>
      </c>
      <c r="D102" s="133" t="s">
        <v>10</v>
      </c>
      <c r="E102" s="134">
        <f>$C$4</f>
        <v>1296.13824</v>
      </c>
      <c r="F102" s="134">
        <f>$E$4</f>
        <v>15553.658879999999</v>
      </c>
      <c r="G102" s="135">
        <f>$D$4</f>
        <v>0.21602304</v>
      </c>
      <c r="H102" s="133" t="s">
        <v>166</v>
      </c>
      <c r="I102" s="133" t="s">
        <v>173</v>
      </c>
      <c r="J102" s="133" t="s">
        <v>174</v>
      </c>
      <c r="L102"/>
    </row>
    <row r="103" spans="3:12" x14ac:dyDescent="0.55000000000000004">
      <c r="L103"/>
    </row>
    <row r="104" spans="3:12" ht="15.6" x14ac:dyDescent="0.6">
      <c r="C104" s="95" t="s">
        <v>175</v>
      </c>
      <c r="D104" s="100"/>
      <c r="E104" s="100"/>
      <c r="F104" s="100"/>
      <c r="G104" s="100"/>
      <c r="H104" s="100"/>
      <c r="I104" s="100"/>
      <c r="J104" s="100"/>
      <c r="K104" s="100"/>
      <c r="L104" s="100"/>
    </row>
    <row r="105" spans="3:12" x14ac:dyDescent="0.55000000000000004">
      <c r="C105" s="160" t="s">
        <v>176</v>
      </c>
      <c r="D105" s="136"/>
      <c r="F105" s="141" t="s">
        <v>177</v>
      </c>
      <c r="G105" s="136"/>
      <c r="I105" s="106" t="s">
        <v>178</v>
      </c>
      <c r="J105" s="136"/>
      <c r="L105"/>
    </row>
    <row r="106" spans="3:12" x14ac:dyDescent="0.55000000000000004">
      <c r="C106" s="15" t="s">
        <v>179</v>
      </c>
      <c r="D106" s="107">
        <f>H87</f>
        <v>2472.1260000000002</v>
      </c>
      <c r="F106" s="15" t="s">
        <v>180</v>
      </c>
      <c r="G106" s="142">
        <f>$A$14</f>
        <v>6000</v>
      </c>
      <c r="I106" s="15" t="s">
        <v>181</v>
      </c>
      <c r="J106" s="16" t="s">
        <v>182</v>
      </c>
      <c r="L106"/>
    </row>
    <row r="107" spans="3:12" x14ac:dyDescent="0.55000000000000004">
      <c r="C107" s="15" t="s">
        <v>183</v>
      </c>
      <c r="D107" s="107">
        <f>K10</f>
        <v>783.5564159999999</v>
      </c>
      <c r="F107" s="15" t="s">
        <v>184</v>
      </c>
      <c r="G107" s="142">
        <f>J87</f>
        <v>11443.807105019911</v>
      </c>
      <c r="I107" s="15" t="s">
        <v>185</v>
      </c>
      <c r="J107" s="107">
        <f>H87</f>
        <v>2472.1260000000002</v>
      </c>
      <c r="L107"/>
    </row>
    <row r="108" spans="3:12" x14ac:dyDescent="0.55000000000000004">
      <c r="C108" s="15" t="s">
        <v>186</v>
      </c>
      <c r="D108" s="137">
        <f>D106-D107</f>
        <v>1688.5695840000003</v>
      </c>
      <c r="F108" s="15" t="s">
        <v>187</v>
      </c>
      <c r="G108" s="142">
        <f>J92</f>
        <v>28665.97007430319</v>
      </c>
      <c r="I108" s="15" t="s">
        <v>188</v>
      </c>
      <c r="J108" s="107">
        <f>$C$4*2</f>
        <v>2592.27648</v>
      </c>
      <c r="L108"/>
    </row>
    <row r="109" spans="3:12" x14ac:dyDescent="0.55000000000000004">
      <c r="C109" s="15" t="s">
        <v>189</v>
      </c>
      <c r="D109" s="138">
        <f>D106/D107</f>
        <v>3.1550070288748686</v>
      </c>
      <c r="F109" s="15" t="s">
        <v>190</v>
      </c>
      <c r="G109" s="142">
        <f>G107-G106</f>
        <v>5443.8071050199105</v>
      </c>
      <c r="I109" s="15" t="s">
        <v>191</v>
      </c>
      <c r="J109" s="16" t="s">
        <v>182</v>
      </c>
      <c r="L109"/>
    </row>
    <row r="110" spans="3:12" x14ac:dyDescent="0.55000000000000004">
      <c r="C110" s="101" t="s">
        <v>192</v>
      </c>
      <c r="D110" s="139">
        <f>D108*12</f>
        <v>20262.835008000002</v>
      </c>
      <c r="F110" s="101" t="s">
        <v>130</v>
      </c>
      <c r="G110" s="143">
        <f>G106/G107</f>
        <v>0.52430104290800705</v>
      </c>
      <c r="I110" s="101" t="s">
        <v>193</v>
      </c>
      <c r="J110" s="144">
        <f>$C$4*10</f>
        <v>12961.3824</v>
      </c>
      <c r="L110"/>
    </row>
    <row r="111" spans="3:12" x14ac:dyDescent="0.55000000000000004">
      <c r="L111"/>
    </row>
    <row r="112" spans="3:12" ht="15.6" x14ac:dyDescent="0.6">
      <c r="C112" s="31" t="s">
        <v>119</v>
      </c>
      <c r="D112" s="100"/>
      <c r="E112" s="100"/>
      <c r="F112" s="100"/>
      <c r="G112" s="100"/>
      <c r="H112" s="100"/>
      <c r="I112" s="100"/>
      <c r="J112" s="100"/>
      <c r="K112" s="100"/>
      <c r="L112" s="100"/>
    </row>
    <row r="113" spans="3:12" x14ac:dyDescent="0.55000000000000004">
      <c r="C113" s="105" t="s">
        <v>194</v>
      </c>
      <c r="D113" s="74"/>
      <c r="E113" s="74"/>
      <c r="F113" s="74"/>
      <c r="G113" s="74"/>
      <c r="H113" s="74"/>
      <c r="I113" s="74"/>
      <c r="J113" s="74"/>
      <c r="K113" s="74"/>
      <c r="L113" s="74"/>
    </row>
    <row r="114" spans="3:12" x14ac:dyDescent="0.55000000000000004">
      <c r="C114" s="104" t="s">
        <v>123</v>
      </c>
      <c r="D114" s="104" t="s">
        <v>103</v>
      </c>
      <c r="E114" s="104" t="s">
        <v>98</v>
      </c>
      <c r="F114" s="104" t="s">
        <v>24</v>
      </c>
      <c r="G114" s="104" t="s">
        <v>27</v>
      </c>
      <c r="H114" s="104" t="s">
        <v>145</v>
      </c>
      <c r="I114" s="104" t="s">
        <v>10</v>
      </c>
      <c r="J114" s="104" t="s">
        <v>195</v>
      </c>
      <c r="K114" s="104" t="s">
        <v>196</v>
      </c>
      <c r="L114" s="104" t="s">
        <v>93</v>
      </c>
    </row>
    <row r="115" spans="3:12" x14ac:dyDescent="0.55000000000000004">
      <c r="C115" s="113">
        <v>1000</v>
      </c>
      <c r="D115" s="112">
        <f t="shared" ref="D115:D121" si="25">$H$87</f>
        <v>2472.1260000000002</v>
      </c>
      <c r="E115" s="112">
        <f t="shared" ref="E115:E121" si="26">$H$92</f>
        <v>6192.5100000000011</v>
      </c>
      <c r="F115" s="112">
        <f t="shared" ref="F115:F121" si="27">($I$6*$C$7/1000000+$J$6*$D$7/1000000)*C115*(1+$A$24)</f>
        <v>9.4510079999999999</v>
      </c>
      <c r="G115" s="112">
        <f t="shared" ref="G115:G121" si="28">($I$8*$C$7/1000000+$J$8*$D$7/1000000)*C115*(1+$A$24)</f>
        <v>216.02303999999998</v>
      </c>
      <c r="H115" s="112">
        <f t="shared" ref="H115:H121" si="29">($I$10*$C$7/1000000+$J$10*$D$7/1000000)*C115*(1+$A$24)</f>
        <v>130.592736</v>
      </c>
      <c r="I115" s="112">
        <f t="shared" ref="I115:I121" si="30">$D$4*C115</f>
        <v>216.02304000000001</v>
      </c>
      <c r="J115" s="112">
        <f t="shared" ref="J115:J121" si="31">MIN(D115:I115)</f>
        <v>9.4510079999999999</v>
      </c>
      <c r="K115" s="112">
        <f t="shared" ref="K115:K121" si="32">D115-J115</f>
        <v>2462.6749920000002</v>
      </c>
      <c r="L115" s="109" t="str">
        <f t="shared" ref="L115:L121" si="33">IF(J115=D115,"Hosted Llama",IF(J115=E115,"Hosted OpenAI",IF(J115=F115,"Nova Micro",IF(J115=G115,"Nova Pro",IF(J115=H115,"Llama 3.3","Selected")))))</f>
        <v>Nova Micro</v>
      </c>
    </row>
    <row r="116" spans="3:12" x14ac:dyDescent="0.55000000000000004">
      <c r="C116" s="119">
        <v>3000</v>
      </c>
      <c r="D116" s="118">
        <f t="shared" si="25"/>
        <v>2472.1260000000002</v>
      </c>
      <c r="E116" s="118">
        <f t="shared" si="26"/>
        <v>6192.5100000000011</v>
      </c>
      <c r="F116" s="118">
        <f t="shared" si="27"/>
        <v>28.353024000000001</v>
      </c>
      <c r="G116" s="118">
        <f t="shared" si="28"/>
        <v>648.06912</v>
      </c>
      <c r="H116" s="118">
        <f t="shared" si="29"/>
        <v>391.77820799999995</v>
      </c>
      <c r="I116" s="118">
        <f t="shared" si="30"/>
        <v>648.06912</v>
      </c>
      <c r="J116" s="118">
        <f t="shared" si="31"/>
        <v>28.353024000000001</v>
      </c>
      <c r="K116" s="118">
        <f t="shared" si="32"/>
        <v>2443.7729760000002</v>
      </c>
      <c r="L116" s="115" t="str">
        <f t="shared" si="33"/>
        <v>Nova Micro</v>
      </c>
    </row>
    <row r="117" spans="3:12" x14ac:dyDescent="0.55000000000000004">
      <c r="C117" s="145">
        <v>6000</v>
      </c>
      <c r="D117" s="128">
        <f t="shared" si="25"/>
        <v>2472.1260000000002</v>
      </c>
      <c r="E117" s="128">
        <f t="shared" si="26"/>
        <v>6192.5100000000011</v>
      </c>
      <c r="F117" s="128">
        <f t="shared" si="27"/>
        <v>56.706048000000003</v>
      </c>
      <c r="G117" s="128">
        <f t="shared" si="28"/>
        <v>1296.13824</v>
      </c>
      <c r="H117" s="128">
        <f t="shared" si="29"/>
        <v>783.5564159999999</v>
      </c>
      <c r="I117" s="128">
        <f t="shared" si="30"/>
        <v>1296.13824</v>
      </c>
      <c r="J117" s="128">
        <f t="shared" si="31"/>
        <v>56.706048000000003</v>
      </c>
      <c r="K117" s="128">
        <f t="shared" si="32"/>
        <v>2415.4199520000002</v>
      </c>
      <c r="L117" s="127" t="str">
        <f t="shared" si="33"/>
        <v>Nova Micro</v>
      </c>
    </row>
    <row r="118" spans="3:12" x14ac:dyDescent="0.55000000000000004">
      <c r="C118" s="119">
        <v>12000</v>
      </c>
      <c r="D118" s="118">
        <f t="shared" si="25"/>
        <v>2472.1260000000002</v>
      </c>
      <c r="E118" s="118">
        <f t="shared" si="26"/>
        <v>6192.5100000000011</v>
      </c>
      <c r="F118" s="118">
        <f t="shared" si="27"/>
        <v>113.41209600000001</v>
      </c>
      <c r="G118" s="118">
        <f t="shared" si="28"/>
        <v>2592.27648</v>
      </c>
      <c r="H118" s="118">
        <f t="shared" si="29"/>
        <v>1567.1128319999998</v>
      </c>
      <c r="I118" s="118">
        <f t="shared" si="30"/>
        <v>2592.27648</v>
      </c>
      <c r="J118" s="118">
        <f t="shared" si="31"/>
        <v>113.41209600000001</v>
      </c>
      <c r="K118" s="118">
        <f t="shared" si="32"/>
        <v>2358.7139040000002</v>
      </c>
      <c r="L118" s="115" t="str">
        <f t="shared" si="33"/>
        <v>Nova Micro</v>
      </c>
    </row>
    <row r="119" spans="3:12" x14ac:dyDescent="0.55000000000000004">
      <c r="C119" s="113">
        <v>25000</v>
      </c>
      <c r="D119" s="112">
        <f t="shared" si="25"/>
        <v>2472.1260000000002</v>
      </c>
      <c r="E119" s="112">
        <f t="shared" si="26"/>
        <v>6192.5100000000011</v>
      </c>
      <c r="F119" s="112">
        <f t="shared" si="27"/>
        <v>236.27520000000001</v>
      </c>
      <c r="G119" s="112">
        <f t="shared" si="28"/>
        <v>5400.5759999999991</v>
      </c>
      <c r="H119" s="112">
        <f t="shared" si="29"/>
        <v>3264.8183999999997</v>
      </c>
      <c r="I119" s="112">
        <f t="shared" si="30"/>
        <v>5400.576</v>
      </c>
      <c r="J119" s="112">
        <f t="shared" si="31"/>
        <v>236.27520000000001</v>
      </c>
      <c r="K119" s="112">
        <f t="shared" si="32"/>
        <v>2235.8508000000002</v>
      </c>
      <c r="L119" s="109" t="str">
        <f t="shared" si="33"/>
        <v>Nova Micro</v>
      </c>
    </row>
    <row r="120" spans="3:12" x14ac:dyDescent="0.55000000000000004">
      <c r="C120" s="119">
        <v>50000</v>
      </c>
      <c r="D120" s="118">
        <f t="shared" si="25"/>
        <v>2472.1260000000002</v>
      </c>
      <c r="E120" s="118">
        <f t="shared" si="26"/>
        <v>6192.5100000000011</v>
      </c>
      <c r="F120" s="118">
        <f t="shared" si="27"/>
        <v>472.55040000000002</v>
      </c>
      <c r="G120" s="118">
        <f t="shared" si="28"/>
        <v>10801.151999999998</v>
      </c>
      <c r="H120" s="118">
        <f t="shared" si="29"/>
        <v>6529.6367999999993</v>
      </c>
      <c r="I120" s="118">
        <f t="shared" si="30"/>
        <v>10801.152</v>
      </c>
      <c r="J120" s="118">
        <f t="shared" si="31"/>
        <v>472.55040000000002</v>
      </c>
      <c r="K120" s="118">
        <f t="shared" si="32"/>
        <v>1999.5756000000001</v>
      </c>
      <c r="L120" s="115" t="str">
        <f t="shared" si="33"/>
        <v>Nova Micro</v>
      </c>
    </row>
    <row r="121" spans="3:12" x14ac:dyDescent="0.55000000000000004">
      <c r="C121" s="113">
        <v>100000</v>
      </c>
      <c r="D121" s="112">
        <f t="shared" si="25"/>
        <v>2472.1260000000002</v>
      </c>
      <c r="E121" s="112">
        <f t="shared" si="26"/>
        <v>6192.5100000000011</v>
      </c>
      <c r="F121" s="112">
        <f t="shared" si="27"/>
        <v>945.10080000000005</v>
      </c>
      <c r="G121" s="112">
        <f t="shared" si="28"/>
        <v>21602.303999999996</v>
      </c>
      <c r="H121" s="112">
        <f t="shared" si="29"/>
        <v>13059.273599999999</v>
      </c>
      <c r="I121" s="112">
        <f t="shared" si="30"/>
        <v>21602.304</v>
      </c>
      <c r="J121" s="112">
        <f t="shared" si="31"/>
        <v>945.10080000000005</v>
      </c>
      <c r="K121" s="112">
        <f t="shared" si="32"/>
        <v>1527.0252</v>
      </c>
      <c r="L121" s="109" t="str">
        <f t="shared" si="33"/>
        <v>Nova Micro</v>
      </c>
    </row>
    <row r="122" spans="3:12" x14ac:dyDescent="0.55000000000000004">
      <c r="L122"/>
    </row>
    <row r="123" spans="3:12" x14ac:dyDescent="0.55000000000000004">
      <c r="L123"/>
    </row>
    <row r="124" spans="3:12" x14ac:dyDescent="0.55000000000000004">
      <c r="L124"/>
    </row>
    <row r="125" spans="3:12" x14ac:dyDescent="0.55000000000000004">
      <c r="L125"/>
    </row>
    <row r="126" spans="3:12" x14ac:dyDescent="0.55000000000000004">
      <c r="L126"/>
    </row>
    <row r="127" spans="3:12" x14ac:dyDescent="0.55000000000000004">
      <c r="L127"/>
    </row>
    <row r="128" spans="3:12" ht="18.3" x14ac:dyDescent="0.7">
      <c r="C128" s="108" t="s">
        <v>131</v>
      </c>
      <c r="D128" s="100"/>
      <c r="E128" s="100"/>
      <c r="F128" s="100"/>
      <c r="G128" s="100"/>
      <c r="H128" s="100"/>
      <c r="I128" s="100"/>
      <c r="J128" s="100"/>
      <c r="K128" s="100"/>
      <c r="L128" s="100"/>
    </row>
    <row r="129" spans="3:12" x14ac:dyDescent="0.55000000000000004">
      <c r="C129" s="141" t="s">
        <v>197</v>
      </c>
      <c r="D129" s="136"/>
      <c r="F129" s="147" t="s">
        <v>198</v>
      </c>
      <c r="G129" s="150"/>
      <c r="I129" s="151" t="s">
        <v>199</v>
      </c>
      <c r="J129" s="152"/>
      <c r="L129"/>
    </row>
    <row r="130" spans="3:12" x14ac:dyDescent="0.55000000000000004">
      <c r="C130" s="15" t="s">
        <v>180</v>
      </c>
      <c r="D130" s="142">
        <f>$A$14</f>
        <v>6000</v>
      </c>
      <c r="F130" s="148" t="s">
        <v>200</v>
      </c>
      <c r="G130" s="16"/>
      <c r="I130" s="148" t="s">
        <v>201</v>
      </c>
      <c r="J130" s="16"/>
      <c r="L130"/>
    </row>
    <row r="131" spans="3:12" x14ac:dyDescent="0.55000000000000004">
      <c r="C131" s="15" t="s">
        <v>127</v>
      </c>
      <c r="D131" s="142">
        <f>J87</f>
        <v>11443.807105019911</v>
      </c>
      <c r="F131" s="148" t="s">
        <v>202</v>
      </c>
      <c r="G131" s="16"/>
      <c r="I131" s="148" t="s">
        <v>203</v>
      </c>
      <c r="J131" s="16"/>
      <c r="L131"/>
    </row>
    <row r="132" spans="3:12" x14ac:dyDescent="0.55000000000000004">
      <c r="C132" s="15" t="s">
        <v>204</v>
      </c>
      <c r="D132" s="16" t="str">
        <f>IF(D130&lt;D131,"Below Break-Even","Above Break-Even")</f>
        <v>Below Break-Even</v>
      </c>
      <c r="F132" s="148" t="s">
        <v>205</v>
      </c>
      <c r="G132" s="16"/>
      <c r="I132" s="148" t="s">
        <v>206</v>
      </c>
      <c r="J132" s="16"/>
      <c r="L132"/>
    </row>
    <row r="133" spans="3:12" x14ac:dyDescent="0.55000000000000004">
      <c r="C133" s="15" t="s">
        <v>207</v>
      </c>
      <c r="D133" s="146" t="str">
        <f>IF(D130&lt;D131,"ON-DEMAND","HOSTED")</f>
        <v>ON-DEMAND</v>
      </c>
      <c r="F133" s="148" t="s">
        <v>208</v>
      </c>
      <c r="G133" s="16"/>
      <c r="I133" s="148" t="s">
        <v>209</v>
      </c>
      <c r="J133" s="16"/>
      <c r="L133"/>
    </row>
    <row r="134" spans="3:12" x14ac:dyDescent="0.55000000000000004">
      <c r="C134" s="101" t="s">
        <v>210</v>
      </c>
      <c r="D134" s="139">
        <f>IF(D130&lt;D131,H87-$C$4,0)</f>
        <v>1175.9877600000002</v>
      </c>
      <c r="F134" s="149" t="s">
        <v>211</v>
      </c>
      <c r="G134" s="102"/>
      <c r="I134" s="149" t="s">
        <v>212</v>
      </c>
      <c r="J134" s="102"/>
      <c r="L134"/>
    </row>
    <row r="135" spans="3:12" x14ac:dyDescent="0.55000000000000004">
      <c r="L135"/>
    </row>
    <row r="136" spans="3:12" ht="15.6" x14ac:dyDescent="0.6">
      <c r="C136" s="31" t="s">
        <v>213</v>
      </c>
      <c r="D136" s="100"/>
      <c r="E136" s="100"/>
      <c r="F136" s="100"/>
      <c r="G136" s="100"/>
      <c r="H136" s="100"/>
      <c r="I136" s="100"/>
      <c r="J136" s="100"/>
      <c r="K136" s="100"/>
      <c r="L136" s="100"/>
    </row>
    <row r="137" spans="3:12" ht="18.3" x14ac:dyDescent="0.7">
      <c r="C137" s="157" t="s">
        <v>214</v>
      </c>
      <c r="D137" s="153" t="str">
        <f>TEXT(H87/$C$4,"0.0")&amp;"x cheaper"</f>
        <v>1.9x cheaper</v>
      </c>
      <c r="E137" s="103"/>
      <c r="F137" s="154" t="s">
        <v>53</v>
      </c>
      <c r="G137" s="155">
        <f>H87-$C$4</f>
        <v>1175.9877600000002</v>
      </c>
      <c r="H137" s="103"/>
      <c r="I137" s="156" t="s">
        <v>192</v>
      </c>
      <c r="J137" s="158">
        <f>(H87-$C$4)*12</f>
        <v>14111.853120000003</v>
      </c>
      <c r="L137"/>
    </row>
    <row r="138" spans="3:12" x14ac:dyDescent="0.55000000000000004">
      <c r="L138"/>
    </row>
    <row r="139" spans="3:12" x14ac:dyDescent="0.55000000000000004">
      <c r="C139" s="159" t="s">
        <v>215</v>
      </c>
      <c r="L139"/>
    </row>
  </sheetData>
  <mergeCells count="15">
    <mergeCell ref="C9:F9"/>
    <mergeCell ref="C1:F1"/>
    <mergeCell ref="H1:K1"/>
    <mergeCell ref="M1:O1"/>
    <mergeCell ref="M2:O2"/>
    <mergeCell ref="N3:O3"/>
    <mergeCell ref="C16:F16"/>
    <mergeCell ref="C41:O41"/>
    <mergeCell ref="C42:O42"/>
    <mergeCell ref="E10:F10"/>
    <mergeCell ref="E11:F11"/>
    <mergeCell ref="E12:F12"/>
    <mergeCell ref="H12:K12"/>
    <mergeCell ref="E13:F13"/>
    <mergeCell ref="E14:F14"/>
  </mergeCells>
  <conditionalFormatting sqref="H3:H10">
    <cfRule type="expression" dxfId="1" priority="1">
      <formula>H3=$A$4</formula>
    </cfRule>
  </conditionalFormatting>
  <conditionalFormatting sqref="H3:K10">
    <cfRule type="expression" dxfId="0" priority="2">
      <formula>$H3=$A$4</formula>
    </cfRule>
  </conditionalFormatting>
  <dataValidations count="1">
    <dataValidation type="list" allowBlank="1" showInputMessage="1" showErrorMessage="1" sqref="A4" xr:uid="{FCCB3944-14F3-4040-8B4A-7CDE2A82A591}">
      <formula1>"Claude Haiku 4.5,Claude Sonnet 4.6,Claude Opus 4.7,Nova Micro,Nova Lite,Nova Pro,Nova Premier,Llama 3.3 70B,Llama 3.1 405B,Mistral Large,Command R+,gpt-oss-120B,gpt-oss-20B,Gemma 3 4B,Gemma 3 12B,Gemma 3 27B"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zoomScale="145" zoomScaleNormal="145" workbookViewId="0">
      <selection activeCell="A2" sqref="A2:A10"/>
    </sheetView>
  </sheetViews>
  <sheetFormatPr defaultRowHeight="14.4" x14ac:dyDescent="0.55000000000000004"/>
  <cols>
    <col min="1" max="1" width="28.578125" customWidth="1"/>
    <col min="2" max="2" width="21.41796875" customWidth="1"/>
    <col min="3" max="3" width="32" customWidth="1"/>
    <col min="4" max="4" width="20.578125" customWidth="1"/>
    <col min="5" max="5" width="15.26171875" customWidth="1"/>
  </cols>
  <sheetData>
    <row r="1" spans="1:5" x14ac:dyDescent="0.55000000000000004">
      <c r="A1" s="1" t="s">
        <v>216</v>
      </c>
      <c r="B1" s="1" t="s">
        <v>217</v>
      </c>
      <c r="C1" s="1" t="s">
        <v>218</v>
      </c>
      <c r="D1" s="1" t="s">
        <v>219</v>
      </c>
      <c r="E1" s="1" t="s">
        <v>220</v>
      </c>
    </row>
    <row r="2" spans="1:5" x14ac:dyDescent="0.55000000000000004">
      <c r="A2" t="s">
        <v>45</v>
      </c>
      <c r="B2">
        <v>7</v>
      </c>
      <c r="C2">
        <f>SUMIF(Per_Agent_Tokens!B:B,"Income",Per_Agent_Tokens!C:C)</f>
        <v>20294</v>
      </c>
      <c r="D2">
        <f>SUMIF(Per_Agent_Tokens!B:B,"Non-Financial",Per_Agent_Tokens!D:D)</f>
        <v>3150</v>
      </c>
      <c r="E2">
        <f t="shared" ref="E2:E10" si="0">C2+D2</f>
        <v>23444</v>
      </c>
    </row>
    <row r="3" spans="1:5" x14ac:dyDescent="0.55000000000000004">
      <c r="A3" t="s">
        <v>47</v>
      </c>
      <c r="B3">
        <v>5</v>
      </c>
      <c r="C3">
        <f>SUMIF(Per_Agent_Tokens!B:B,"Non-Financial",Per_Agent_Tokens!C:C)</f>
        <v>18412</v>
      </c>
      <c r="D3">
        <f>SUMIF(Per_Agent_Tokens!B:B,"Income",Per_Agent_Tokens!D:D)</f>
        <v>3675</v>
      </c>
      <c r="E3">
        <f t="shared" si="0"/>
        <v>22087</v>
      </c>
    </row>
    <row r="4" spans="1:5" x14ac:dyDescent="0.55000000000000004">
      <c r="A4" t="s">
        <v>221</v>
      </c>
      <c r="B4">
        <v>5</v>
      </c>
      <c r="C4">
        <f>SUMIF(Per_Agent_Tokens!B:B,"Residency &amp; Citizenship",Per_Agent_Tokens!C:C)</f>
        <v>16994</v>
      </c>
      <c r="D4">
        <f>SUMIF(Per_Agent_Tokens!B:B,"Residency &amp; Citizenship",Per_Agent_Tokens!D:D)</f>
        <v>2925</v>
      </c>
      <c r="E4">
        <f t="shared" si="0"/>
        <v>19919</v>
      </c>
    </row>
    <row r="5" spans="1:5" x14ac:dyDescent="0.55000000000000004">
      <c r="A5" t="s">
        <v>222</v>
      </c>
      <c r="B5">
        <v>5</v>
      </c>
      <c r="C5">
        <f>SUMIF(Per_Agent_Tokens!B:B,"Verification &amp; Documentation",Per_Agent_Tokens!C:C)</f>
        <v>15642</v>
      </c>
      <c r="D5">
        <f>SUMIF(Per_Agent_Tokens!B:B,"Verification &amp; Documentation",Per_Agent_Tokens!D:D)</f>
        <v>2925</v>
      </c>
      <c r="E5">
        <f t="shared" si="0"/>
        <v>18567</v>
      </c>
    </row>
    <row r="6" spans="1:5" x14ac:dyDescent="0.55000000000000004">
      <c r="A6" t="s">
        <v>223</v>
      </c>
      <c r="B6">
        <v>4</v>
      </c>
      <c r="C6">
        <f>SUMIF(Per_Agent_Tokens!B:B,"Identity &amp; Household",Per_Agent_Tokens!C:C)</f>
        <v>13908</v>
      </c>
      <c r="D6">
        <f>SUMIF(Per_Agent_Tokens!B:B,"Identity &amp; Household",Per_Agent_Tokens!D:D)</f>
        <v>2325</v>
      </c>
      <c r="E6">
        <f t="shared" si="0"/>
        <v>16233</v>
      </c>
    </row>
    <row r="7" spans="1:5" x14ac:dyDescent="0.55000000000000004">
      <c r="A7" t="s">
        <v>60</v>
      </c>
      <c r="B7">
        <v>5</v>
      </c>
      <c r="C7">
        <f>SUMIF(Per_Agent_Tokens!B:B,"Resources",Per_Agent_Tokens!C:C)</f>
        <v>13164</v>
      </c>
      <c r="D7">
        <f>SUMIF(Per_Agent_Tokens!B:B,"Resources",Per_Agent_Tokens!D:D)</f>
        <v>2400</v>
      </c>
      <c r="E7">
        <f t="shared" si="0"/>
        <v>15564</v>
      </c>
    </row>
    <row r="8" spans="1:5" x14ac:dyDescent="0.55000000000000004">
      <c r="A8" t="s">
        <v>224</v>
      </c>
      <c r="B8">
        <v>3</v>
      </c>
      <c r="C8">
        <f>SUMIF(Per_Agent_Tokens!B:B,"Categorical Determination",Per_Agent_Tokens!C:C)</f>
        <v>7790</v>
      </c>
      <c r="D8">
        <f>SUMIF(Per_Agent_Tokens!B:B,"Categorical Determination",Per_Agent_Tokens!D:D)</f>
        <v>1425</v>
      </c>
      <c r="E8">
        <f t="shared" si="0"/>
        <v>9215</v>
      </c>
    </row>
    <row r="9" spans="1:5" x14ac:dyDescent="0.55000000000000004">
      <c r="A9" t="s">
        <v>65</v>
      </c>
      <c r="B9">
        <v>2</v>
      </c>
      <c r="C9">
        <f>SUMIF(Per_Agent_Tokens!B:B,"Deductions",Per_Agent_Tokens!C:C)</f>
        <v>5534</v>
      </c>
      <c r="D9">
        <f>SUMIF(Per_Agent_Tokens!B:B,"Deductions",Per_Agent_Tokens!D:D)</f>
        <v>900</v>
      </c>
      <c r="E9">
        <f t="shared" si="0"/>
        <v>6434</v>
      </c>
    </row>
    <row r="10" spans="1:5" x14ac:dyDescent="0.55000000000000004">
      <c r="A10" t="s">
        <v>67</v>
      </c>
      <c r="B10">
        <v>2</v>
      </c>
      <c r="C10">
        <f>SUMIF(Per_Agent_Tokens!B:B,"Timeliness",Per_Agent_Tokens!C:C)</f>
        <v>4786</v>
      </c>
      <c r="D10">
        <f>SUMIF(Per_Agent_Tokens!B:B,"Timeliness",Per_Agent_Tokens!D:D)</f>
        <v>900</v>
      </c>
      <c r="E10">
        <f t="shared" si="0"/>
        <v>5686</v>
      </c>
    </row>
    <row r="12" spans="1:5" x14ac:dyDescent="0.55000000000000004">
      <c r="B12">
        <f>SUM(B2:B10)</f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9"/>
  <sheetViews>
    <sheetView workbookViewId="0">
      <selection activeCell="D2" sqref="D2:D39"/>
    </sheetView>
  </sheetViews>
  <sheetFormatPr defaultRowHeight="14.4" x14ac:dyDescent="0.55000000000000004"/>
  <cols>
    <col min="1" max="1" width="21.578125" customWidth="1"/>
    <col min="2" max="2" width="36.1015625" customWidth="1"/>
    <col min="3" max="3" width="33.1015625" customWidth="1"/>
    <col min="4" max="4" width="24.1015625" customWidth="1"/>
    <col min="5" max="5" width="25" customWidth="1"/>
  </cols>
  <sheetData>
    <row r="1" spans="1:5" x14ac:dyDescent="0.55000000000000004">
      <c r="A1" s="1" t="s">
        <v>225</v>
      </c>
      <c r="B1" s="1" t="s">
        <v>216</v>
      </c>
      <c r="C1" s="1" t="s">
        <v>218</v>
      </c>
      <c r="D1" s="1" t="s">
        <v>219</v>
      </c>
      <c r="E1" s="1" t="s">
        <v>220</v>
      </c>
    </row>
    <row r="2" spans="1:5" x14ac:dyDescent="0.55000000000000004">
      <c r="A2" t="s">
        <v>226</v>
      </c>
      <c r="B2" t="s">
        <v>227</v>
      </c>
      <c r="C2">
        <v>4168</v>
      </c>
      <c r="D2">
        <v>675</v>
      </c>
      <c r="E2">
        <f t="shared" ref="E2:E39" si="0">SUM(C2:D2)</f>
        <v>4843</v>
      </c>
    </row>
    <row r="3" spans="1:5" x14ac:dyDescent="0.55000000000000004">
      <c r="A3" t="s">
        <v>228</v>
      </c>
      <c r="B3" t="s">
        <v>227</v>
      </c>
      <c r="C3">
        <v>2740</v>
      </c>
      <c r="D3">
        <v>450</v>
      </c>
      <c r="E3">
        <f t="shared" si="0"/>
        <v>3190</v>
      </c>
    </row>
    <row r="4" spans="1:5" x14ac:dyDescent="0.55000000000000004">
      <c r="A4" t="s">
        <v>229</v>
      </c>
      <c r="B4" t="s">
        <v>227</v>
      </c>
      <c r="C4">
        <v>3440</v>
      </c>
      <c r="D4">
        <v>600</v>
      </c>
      <c r="E4">
        <f t="shared" si="0"/>
        <v>4040</v>
      </c>
    </row>
    <row r="5" spans="1:5" x14ac:dyDescent="0.55000000000000004">
      <c r="A5" t="s">
        <v>230</v>
      </c>
      <c r="B5" t="s">
        <v>227</v>
      </c>
      <c r="C5">
        <v>3560</v>
      </c>
      <c r="D5">
        <v>600</v>
      </c>
      <c r="E5">
        <f t="shared" si="0"/>
        <v>4160</v>
      </c>
    </row>
    <row r="6" spans="1:5" x14ac:dyDescent="0.55000000000000004">
      <c r="A6" t="s">
        <v>231</v>
      </c>
      <c r="B6" t="s">
        <v>232</v>
      </c>
      <c r="C6">
        <v>4266</v>
      </c>
      <c r="D6">
        <v>675</v>
      </c>
      <c r="E6">
        <f t="shared" si="0"/>
        <v>4941</v>
      </c>
    </row>
    <row r="7" spans="1:5" x14ac:dyDescent="0.55000000000000004">
      <c r="A7" t="s">
        <v>233</v>
      </c>
      <c r="B7" t="s">
        <v>232</v>
      </c>
      <c r="C7">
        <v>4008</v>
      </c>
      <c r="D7">
        <v>675</v>
      </c>
      <c r="E7">
        <f t="shared" si="0"/>
        <v>4683</v>
      </c>
    </row>
    <row r="8" spans="1:5" x14ac:dyDescent="0.55000000000000004">
      <c r="A8" t="s">
        <v>234</v>
      </c>
      <c r="B8" t="s">
        <v>232</v>
      </c>
      <c r="C8">
        <v>2950</v>
      </c>
      <c r="D8">
        <v>525</v>
      </c>
      <c r="E8">
        <f t="shared" si="0"/>
        <v>3475</v>
      </c>
    </row>
    <row r="9" spans="1:5" x14ac:dyDescent="0.55000000000000004">
      <c r="A9" t="s">
        <v>235</v>
      </c>
      <c r="B9" t="s">
        <v>232</v>
      </c>
      <c r="C9">
        <v>2644</v>
      </c>
      <c r="D9">
        <v>525</v>
      </c>
      <c r="E9">
        <f t="shared" si="0"/>
        <v>3169</v>
      </c>
    </row>
    <row r="10" spans="1:5" x14ac:dyDescent="0.55000000000000004">
      <c r="A10" t="s">
        <v>236</v>
      </c>
      <c r="B10" t="s">
        <v>232</v>
      </c>
      <c r="C10">
        <v>3126</v>
      </c>
      <c r="D10">
        <v>525</v>
      </c>
      <c r="E10">
        <f t="shared" si="0"/>
        <v>3651</v>
      </c>
    </row>
    <row r="11" spans="1:5" x14ac:dyDescent="0.55000000000000004">
      <c r="A11" t="s">
        <v>237</v>
      </c>
      <c r="B11" t="s">
        <v>67</v>
      </c>
      <c r="C11">
        <v>2404</v>
      </c>
      <c r="D11">
        <v>450</v>
      </c>
      <c r="E11">
        <f t="shared" si="0"/>
        <v>2854</v>
      </c>
    </row>
    <row r="12" spans="1:5" x14ac:dyDescent="0.55000000000000004">
      <c r="A12" t="s">
        <v>238</v>
      </c>
      <c r="B12" t="s">
        <v>67</v>
      </c>
      <c r="C12">
        <v>2382</v>
      </c>
      <c r="D12">
        <v>450</v>
      </c>
      <c r="E12">
        <f t="shared" si="0"/>
        <v>2832</v>
      </c>
    </row>
    <row r="13" spans="1:5" x14ac:dyDescent="0.55000000000000004">
      <c r="A13" t="s">
        <v>239</v>
      </c>
      <c r="B13" t="s">
        <v>47</v>
      </c>
      <c r="C13">
        <v>3238</v>
      </c>
      <c r="D13">
        <v>600</v>
      </c>
      <c r="E13">
        <f t="shared" si="0"/>
        <v>3838</v>
      </c>
    </row>
    <row r="14" spans="1:5" x14ac:dyDescent="0.55000000000000004">
      <c r="A14" t="s">
        <v>240</v>
      </c>
      <c r="B14" t="s">
        <v>47</v>
      </c>
      <c r="C14">
        <v>3818</v>
      </c>
      <c r="D14">
        <v>600</v>
      </c>
      <c r="E14">
        <f t="shared" si="0"/>
        <v>4418</v>
      </c>
    </row>
    <row r="15" spans="1:5" x14ac:dyDescent="0.55000000000000004">
      <c r="A15" t="s">
        <v>241</v>
      </c>
      <c r="B15" t="s">
        <v>47</v>
      </c>
      <c r="C15">
        <v>3812</v>
      </c>
      <c r="D15">
        <v>675</v>
      </c>
      <c r="E15">
        <f t="shared" si="0"/>
        <v>4487</v>
      </c>
    </row>
    <row r="16" spans="1:5" x14ac:dyDescent="0.55000000000000004">
      <c r="A16" t="s">
        <v>242</v>
      </c>
      <c r="B16" t="s">
        <v>47</v>
      </c>
      <c r="C16">
        <v>3496</v>
      </c>
      <c r="D16">
        <v>600</v>
      </c>
      <c r="E16">
        <f t="shared" si="0"/>
        <v>4096</v>
      </c>
    </row>
    <row r="17" spans="1:5" x14ac:dyDescent="0.55000000000000004">
      <c r="A17" t="s">
        <v>243</v>
      </c>
      <c r="B17" t="s">
        <v>47</v>
      </c>
      <c r="C17">
        <v>4048</v>
      </c>
      <c r="D17">
        <v>675</v>
      </c>
      <c r="E17">
        <f t="shared" si="0"/>
        <v>4723</v>
      </c>
    </row>
    <row r="18" spans="1:5" x14ac:dyDescent="0.55000000000000004">
      <c r="A18" t="s">
        <v>244</v>
      </c>
      <c r="B18" t="s">
        <v>60</v>
      </c>
      <c r="C18">
        <v>2852</v>
      </c>
      <c r="D18">
        <v>450</v>
      </c>
      <c r="E18">
        <f t="shared" si="0"/>
        <v>3302</v>
      </c>
    </row>
    <row r="19" spans="1:5" x14ac:dyDescent="0.55000000000000004">
      <c r="A19" t="s">
        <v>245</v>
      </c>
      <c r="B19" t="s">
        <v>60</v>
      </c>
      <c r="C19">
        <v>2594</v>
      </c>
      <c r="D19">
        <v>450</v>
      </c>
      <c r="E19">
        <f t="shared" si="0"/>
        <v>3044</v>
      </c>
    </row>
    <row r="20" spans="1:5" x14ac:dyDescent="0.55000000000000004">
      <c r="A20" t="s">
        <v>246</v>
      </c>
      <c r="B20" t="s">
        <v>60</v>
      </c>
      <c r="C20">
        <v>3054</v>
      </c>
      <c r="D20">
        <v>600</v>
      </c>
      <c r="E20">
        <f t="shared" si="0"/>
        <v>3654</v>
      </c>
    </row>
    <row r="21" spans="1:5" x14ac:dyDescent="0.55000000000000004">
      <c r="A21" t="s">
        <v>247</v>
      </c>
      <c r="B21" t="s">
        <v>60</v>
      </c>
      <c r="C21">
        <v>2534</v>
      </c>
      <c r="D21">
        <v>450</v>
      </c>
      <c r="E21">
        <f t="shared" si="0"/>
        <v>2984</v>
      </c>
    </row>
    <row r="22" spans="1:5" x14ac:dyDescent="0.55000000000000004">
      <c r="A22" t="s">
        <v>248</v>
      </c>
      <c r="B22" t="s">
        <v>60</v>
      </c>
      <c r="C22">
        <v>2130</v>
      </c>
      <c r="D22">
        <v>450</v>
      </c>
      <c r="E22">
        <f t="shared" si="0"/>
        <v>2580</v>
      </c>
    </row>
    <row r="23" spans="1:5" x14ac:dyDescent="0.55000000000000004">
      <c r="A23" t="s">
        <v>249</v>
      </c>
      <c r="B23" t="s">
        <v>45</v>
      </c>
      <c r="C23">
        <v>3496</v>
      </c>
      <c r="D23">
        <v>525</v>
      </c>
      <c r="E23">
        <f t="shared" si="0"/>
        <v>4021</v>
      </c>
    </row>
    <row r="24" spans="1:5" x14ac:dyDescent="0.55000000000000004">
      <c r="A24" t="s">
        <v>250</v>
      </c>
      <c r="B24" t="s">
        <v>45</v>
      </c>
      <c r="C24">
        <v>2820</v>
      </c>
      <c r="D24">
        <v>600</v>
      </c>
      <c r="E24">
        <f t="shared" si="0"/>
        <v>3420</v>
      </c>
    </row>
    <row r="25" spans="1:5" x14ac:dyDescent="0.55000000000000004">
      <c r="A25" t="s">
        <v>251</v>
      </c>
      <c r="B25" t="s">
        <v>45</v>
      </c>
      <c r="C25">
        <v>3098</v>
      </c>
      <c r="D25">
        <v>525</v>
      </c>
      <c r="E25">
        <f t="shared" si="0"/>
        <v>3623</v>
      </c>
    </row>
    <row r="26" spans="1:5" x14ac:dyDescent="0.55000000000000004">
      <c r="A26" t="s">
        <v>252</v>
      </c>
      <c r="B26" t="s">
        <v>45</v>
      </c>
      <c r="C26">
        <v>2706</v>
      </c>
      <c r="D26">
        <v>525</v>
      </c>
      <c r="E26">
        <f t="shared" si="0"/>
        <v>3231</v>
      </c>
    </row>
    <row r="27" spans="1:5" x14ac:dyDescent="0.55000000000000004">
      <c r="A27" t="s">
        <v>253</v>
      </c>
      <c r="B27" t="s">
        <v>45</v>
      </c>
      <c r="C27">
        <v>2118</v>
      </c>
      <c r="D27">
        <v>450</v>
      </c>
      <c r="E27">
        <f t="shared" si="0"/>
        <v>2568</v>
      </c>
    </row>
    <row r="28" spans="1:5" x14ac:dyDescent="0.55000000000000004">
      <c r="A28" t="s">
        <v>254</v>
      </c>
      <c r="B28" t="s">
        <v>45</v>
      </c>
      <c r="C28">
        <v>3126</v>
      </c>
      <c r="D28">
        <v>525</v>
      </c>
      <c r="E28">
        <f t="shared" si="0"/>
        <v>3651</v>
      </c>
    </row>
    <row r="29" spans="1:5" x14ac:dyDescent="0.55000000000000004">
      <c r="A29" t="s">
        <v>255</v>
      </c>
      <c r="B29" t="s">
        <v>45</v>
      </c>
      <c r="C29">
        <v>2930</v>
      </c>
      <c r="D29">
        <v>525</v>
      </c>
      <c r="E29">
        <f t="shared" si="0"/>
        <v>3455</v>
      </c>
    </row>
    <row r="30" spans="1:5" x14ac:dyDescent="0.55000000000000004">
      <c r="A30" t="s">
        <v>256</v>
      </c>
      <c r="B30" t="s">
        <v>257</v>
      </c>
      <c r="C30">
        <v>2970</v>
      </c>
      <c r="D30">
        <v>525</v>
      </c>
      <c r="E30">
        <f t="shared" si="0"/>
        <v>3495</v>
      </c>
    </row>
    <row r="31" spans="1:5" x14ac:dyDescent="0.55000000000000004">
      <c r="A31" t="s">
        <v>258</v>
      </c>
      <c r="B31" t="s">
        <v>257</v>
      </c>
      <c r="C31">
        <v>2494</v>
      </c>
      <c r="D31">
        <v>450</v>
      </c>
      <c r="E31">
        <f t="shared" si="0"/>
        <v>2944</v>
      </c>
    </row>
    <row r="32" spans="1:5" x14ac:dyDescent="0.55000000000000004">
      <c r="A32" t="s">
        <v>259</v>
      </c>
      <c r="B32" t="s">
        <v>257</v>
      </c>
      <c r="C32">
        <v>2326</v>
      </c>
      <c r="D32">
        <v>450</v>
      </c>
      <c r="E32">
        <f t="shared" si="0"/>
        <v>2776</v>
      </c>
    </row>
    <row r="33" spans="1:5" x14ac:dyDescent="0.55000000000000004">
      <c r="A33" t="s">
        <v>260</v>
      </c>
      <c r="B33" t="s">
        <v>65</v>
      </c>
      <c r="C33">
        <v>3404</v>
      </c>
      <c r="D33">
        <v>450</v>
      </c>
      <c r="E33">
        <f t="shared" si="0"/>
        <v>3854</v>
      </c>
    </row>
    <row r="34" spans="1:5" x14ac:dyDescent="0.55000000000000004">
      <c r="A34" t="s">
        <v>261</v>
      </c>
      <c r="B34" t="s">
        <v>65</v>
      </c>
      <c r="C34">
        <v>2130</v>
      </c>
      <c r="D34">
        <v>450</v>
      </c>
      <c r="E34">
        <f t="shared" si="0"/>
        <v>2580</v>
      </c>
    </row>
    <row r="35" spans="1:5" x14ac:dyDescent="0.55000000000000004">
      <c r="A35" t="s">
        <v>262</v>
      </c>
      <c r="B35" t="s">
        <v>263</v>
      </c>
      <c r="C35">
        <v>3320</v>
      </c>
      <c r="D35">
        <v>600</v>
      </c>
      <c r="E35">
        <f t="shared" si="0"/>
        <v>3920</v>
      </c>
    </row>
    <row r="36" spans="1:5" x14ac:dyDescent="0.55000000000000004">
      <c r="A36" t="s">
        <v>264</v>
      </c>
      <c r="B36" t="s">
        <v>263</v>
      </c>
      <c r="C36">
        <v>3846</v>
      </c>
      <c r="D36">
        <v>675</v>
      </c>
      <c r="E36">
        <f t="shared" si="0"/>
        <v>4521</v>
      </c>
    </row>
    <row r="37" spans="1:5" x14ac:dyDescent="0.55000000000000004">
      <c r="A37" t="s">
        <v>265</v>
      </c>
      <c r="B37" t="s">
        <v>263</v>
      </c>
      <c r="C37">
        <v>2384</v>
      </c>
      <c r="D37">
        <v>450</v>
      </c>
      <c r="E37">
        <f t="shared" si="0"/>
        <v>2834</v>
      </c>
    </row>
    <row r="38" spans="1:5" x14ac:dyDescent="0.55000000000000004">
      <c r="A38" t="s">
        <v>266</v>
      </c>
      <c r="B38" t="s">
        <v>263</v>
      </c>
      <c r="C38">
        <v>3294</v>
      </c>
      <c r="D38">
        <v>600</v>
      </c>
      <c r="E38">
        <f t="shared" si="0"/>
        <v>3894</v>
      </c>
    </row>
    <row r="39" spans="1:5" x14ac:dyDescent="0.55000000000000004">
      <c r="A39" t="s">
        <v>267</v>
      </c>
      <c r="B39" t="s">
        <v>263</v>
      </c>
      <c r="C39">
        <v>2798</v>
      </c>
      <c r="D39">
        <v>600</v>
      </c>
      <c r="E39">
        <f t="shared" si="0"/>
        <v>3398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>
      <selection activeCell="A21" sqref="A21:C27"/>
    </sheetView>
  </sheetViews>
  <sheetFormatPr defaultRowHeight="14.4" x14ac:dyDescent="0.55000000000000004"/>
  <cols>
    <col min="1" max="1" width="22.734375" customWidth="1"/>
    <col min="2" max="2" width="20" customWidth="1"/>
    <col min="3" max="3" width="17" customWidth="1"/>
    <col min="4" max="4" width="37" style="4" customWidth="1"/>
    <col min="5" max="5" width="38.1015625" style="4" customWidth="1"/>
    <col min="6" max="7" width="60" customWidth="1"/>
    <col min="8" max="8" width="17" customWidth="1"/>
    <col min="9" max="9" width="37" customWidth="1"/>
  </cols>
  <sheetData>
    <row r="1" spans="1:9" x14ac:dyDescent="0.55000000000000004">
      <c r="A1" s="6" t="s">
        <v>268</v>
      </c>
      <c r="B1" s="6" t="s">
        <v>269</v>
      </c>
      <c r="C1" s="6" t="s">
        <v>270</v>
      </c>
      <c r="D1" s="7" t="s">
        <v>271</v>
      </c>
      <c r="E1" s="7" t="s">
        <v>272</v>
      </c>
      <c r="F1" s="6" t="s">
        <v>273</v>
      </c>
      <c r="G1" s="6" t="s">
        <v>274</v>
      </c>
      <c r="H1" s="6" t="s">
        <v>275</v>
      </c>
      <c r="I1" s="6" t="s">
        <v>276</v>
      </c>
    </row>
    <row r="2" spans="1:9" x14ac:dyDescent="0.55000000000000004">
      <c r="A2" t="s">
        <v>277</v>
      </c>
      <c r="B2" t="s">
        <v>15</v>
      </c>
      <c r="C2" t="s">
        <v>278</v>
      </c>
      <c r="D2" s="4">
        <v>1</v>
      </c>
      <c r="E2" s="4">
        <v>5</v>
      </c>
      <c r="F2" t="s">
        <v>279</v>
      </c>
      <c r="G2" t="s">
        <v>280</v>
      </c>
      <c r="H2" t="s">
        <v>281</v>
      </c>
      <c r="I2" t="s">
        <v>282</v>
      </c>
    </row>
    <row r="3" spans="1:9" x14ac:dyDescent="0.55000000000000004">
      <c r="A3" t="s">
        <v>277</v>
      </c>
      <c r="B3" t="s">
        <v>17</v>
      </c>
      <c r="C3" t="s">
        <v>278</v>
      </c>
      <c r="D3" s="4">
        <v>3</v>
      </c>
      <c r="E3" s="4">
        <v>15</v>
      </c>
      <c r="F3" t="s">
        <v>279</v>
      </c>
      <c r="G3" t="s">
        <v>283</v>
      </c>
      <c r="H3" t="s">
        <v>284</v>
      </c>
      <c r="I3" t="s">
        <v>285</v>
      </c>
    </row>
    <row r="4" spans="1:9" x14ac:dyDescent="0.55000000000000004">
      <c r="A4" t="s">
        <v>277</v>
      </c>
      <c r="B4" t="s">
        <v>18</v>
      </c>
      <c r="C4" t="s">
        <v>278</v>
      </c>
      <c r="D4" s="4">
        <v>5</v>
      </c>
      <c r="E4" s="4">
        <v>25</v>
      </c>
      <c r="F4" t="s">
        <v>279</v>
      </c>
      <c r="G4" t="s">
        <v>286</v>
      </c>
      <c r="H4" t="s">
        <v>284</v>
      </c>
      <c r="I4" t="s">
        <v>287</v>
      </c>
    </row>
    <row r="5" spans="1:9" x14ac:dyDescent="0.55000000000000004">
      <c r="A5" t="s">
        <v>288</v>
      </c>
      <c r="B5" t="s">
        <v>24</v>
      </c>
      <c r="C5" t="s">
        <v>278</v>
      </c>
      <c r="D5" s="4">
        <v>3.5000000000000003E-2</v>
      </c>
      <c r="E5" s="4">
        <v>0.14000000000000001</v>
      </c>
      <c r="F5" t="s">
        <v>289</v>
      </c>
      <c r="G5" t="s">
        <v>290</v>
      </c>
      <c r="H5" t="s">
        <v>291</v>
      </c>
      <c r="I5" t="s">
        <v>292</v>
      </c>
    </row>
    <row r="6" spans="1:9" x14ac:dyDescent="0.55000000000000004">
      <c r="A6" t="s">
        <v>288</v>
      </c>
      <c r="B6" t="s">
        <v>26</v>
      </c>
      <c r="C6" t="s">
        <v>278</v>
      </c>
      <c r="D6" s="4">
        <v>0.06</v>
      </c>
      <c r="E6" s="4">
        <v>0.24</v>
      </c>
      <c r="F6" t="s">
        <v>289</v>
      </c>
      <c r="G6" t="s">
        <v>293</v>
      </c>
      <c r="H6" t="s">
        <v>294</v>
      </c>
      <c r="I6" t="s">
        <v>295</v>
      </c>
    </row>
    <row r="7" spans="1:9" x14ac:dyDescent="0.55000000000000004">
      <c r="A7" t="s">
        <v>288</v>
      </c>
      <c r="B7" t="s">
        <v>27</v>
      </c>
      <c r="C7" t="s">
        <v>278</v>
      </c>
      <c r="D7" s="4">
        <v>0.8</v>
      </c>
      <c r="E7" s="4">
        <v>3.2</v>
      </c>
      <c r="F7" t="s">
        <v>289</v>
      </c>
      <c r="G7" t="s">
        <v>296</v>
      </c>
      <c r="H7" t="s">
        <v>294</v>
      </c>
      <c r="I7" t="s">
        <v>297</v>
      </c>
    </row>
    <row r="8" spans="1:9" x14ac:dyDescent="0.55000000000000004">
      <c r="A8" t="s">
        <v>288</v>
      </c>
      <c r="B8" t="s">
        <v>30</v>
      </c>
      <c r="C8" t="s">
        <v>278</v>
      </c>
      <c r="D8" s="4">
        <v>2.5</v>
      </c>
      <c r="E8" s="4">
        <v>12.5</v>
      </c>
      <c r="F8" t="s">
        <v>289</v>
      </c>
      <c r="G8" t="s">
        <v>298</v>
      </c>
      <c r="H8" t="s">
        <v>284</v>
      </c>
      <c r="I8" t="s">
        <v>299</v>
      </c>
    </row>
    <row r="9" spans="1:9" x14ac:dyDescent="0.55000000000000004">
      <c r="A9" t="s">
        <v>300</v>
      </c>
      <c r="B9" t="s">
        <v>34</v>
      </c>
      <c r="C9" t="s">
        <v>278</v>
      </c>
      <c r="D9" s="4">
        <v>0.72</v>
      </c>
      <c r="E9" s="4">
        <v>0.72</v>
      </c>
      <c r="F9" t="s">
        <v>279</v>
      </c>
      <c r="G9" t="s">
        <v>301</v>
      </c>
      <c r="H9" t="s">
        <v>291</v>
      </c>
      <c r="I9" t="s">
        <v>302</v>
      </c>
    </row>
    <row r="10" spans="1:9" x14ac:dyDescent="0.55000000000000004">
      <c r="A10" t="s">
        <v>300</v>
      </c>
      <c r="B10" t="s">
        <v>303</v>
      </c>
      <c r="C10" t="s">
        <v>278</v>
      </c>
      <c r="D10" s="4">
        <v>5.32</v>
      </c>
      <c r="E10" s="4">
        <v>16</v>
      </c>
      <c r="F10" t="s">
        <v>279</v>
      </c>
      <c r="G10" t="s">
        <v>304</v>
      </c>
      <c r="H10" t="s">
        <v>291</v>
      </c>
      <c r="I10" t="s">
        <v>305</v>
      </c>
    </row>
    <row r="11" spans="1:9" x14ac:dyDescent="0.55000000000000004">
      <c r="A11" t="s">
        <v>111</v>
      </c>
      <c r="B11" t="s">
        <v>306</v>
      </c>
      <c r="C11" t="s">
        <v>278</v>
      </c>
      <c r="D11" s="4">
        <v>4</v>
      </c>
      <c r="E11" s="4">
        <v>12</v>
      </c>
      <c r="F11" t="s">
        <v>289</v>
      </c>
      <c r="G11" t="s">
        <v>307</v>
      </c>
      <c r="H11" t="s">
        <v>291</v>
      </c>
      <c r="I11" t="s">
        <v>308</v>
      </c>
    </row>
    <row r="12" spans="1:9" x14ac:dyDescent="0.55000000000000004">
      <c r="A12" t="s">
        <v>309</v>
      </c>
      <c r="B12" t="s">
        <v>310</v>
      </c>
      <c r="C12" t="s">
        <v>278</v>
      </c>
      <c r="D12" s="4">
        <v>3</v>
      </c>
      <c r="E12" s="4">
        <v>15</v>
      </c>
      <c r="F12" t="s">
        <v>289</v>
      </c>
      <c r="G12" t="s">
        <v>311</v>
      </c>
      <c r="H12" t="s">
        <v>291</v>
      </c>
      <c r="I12" t="s">
        <v>312</v>
      </c>
    </row>
    <row r="13" spans="1:9" x14ac:dyDescent="0.55000000000000004">
      <c r="A13" t="s">
        <v>117</v>
      </c>
      <c r="B13" t="s">
        <v>313</v>
      </c>
      <c r="C13" t="s">
        <v>278</v>
      </c>
      <c r="D13" s="4">
        <v>2.5</v>
      </c>
      <c r="E13" s="4">
        <v>10</v>
      </c>
      <c r="F13" t="s">
        <v>314</v>
      </c>
      <c r="G13" t="s">
        <v>315</v>
      </c>
      <c r="H13" t="s">
        <v>291</v>
      </c>
      <c r="I13" t="s">
        <v>316</v>
      </c>
    </row>
    <row r="14" spans="1:9" x14ac:dyDescent="0.55000000000000004">
      <c r="A14" t="s">
        <v>117</v>
      </c>
      <c r="B14" t="s">
        <v>317</v>
      </c>
      <c r="C14" t="s">
        <v>278</v>
      </c>
      <c r="D14" s="4">
        <v>0.75</v>
      </c>
      <c r="E14" s="4">
        <v>3</v>
      </c>
      <c r="F14" t="s">
        <v>318</v>
      </c>
      <c r="G14" t="s">
        <v>319</v>
      </c>
      <c r="H14" t="s">
        <v>291</v>
      </c>
      <c r="I14" t="s">
        <v>320</v>
      </c>
    </row>
    <row r="15" spans="1:9" x14ac:dyDescent="0.55000000000000004">
      <c r="A15" t="s">
        <v>321</v>
      </c>
      <c r="B15" t="s">
        <v>322</v>
      </c>
      <c r="C15" t="s">
        <v>278</v>
      </c>
      <c r="D15" s="4">
        <v>0.04</v>
      </c>
      <c r="E15" s="4">
        <v>0.08</v>
      </c>
    </row>
    <row r="16" spans="1:9" x14ac:dyDescent="0.55000000000000004">
      <c r="A16" t="s">
        <v>321</v>
      </c>
      <c r="B16" t="s">
        <v>323</v>
      </c>
      <c r="C16" t="s">
        <v>278</v>
      </c>
      <c r="D16" s="4">
        <v>0.09</v>
      </c>
      <c r="E16" s="4">
        <v>0.28999999999999998</v>
      </c>
    </row>
    <row r="17" spans="1:5" x14ac:dyDescent="0.55000000000000004">
      <c r="A17" t="s">
        <v>321</v>
      </c>
      <c r="B17" t="s">
        <v>324</v>
      </c>
      <c r="C17" t="s">
        <v>278</v>
      </c>
      <c r="D17" s="4">
        <v>2.3E-2</v>
      </c>
      <c r="E17" s="4">
        <v>0.38</v>
      </c>
    </row>
    <row r="21" spans="1:5" x14ac:dyDescent="0.55000000000000004">
      <c r="A21" s="2" t="s">
        <v>325</v>
      </c>
      <c r="B21" s="2" t="s">
        <v>326</v>
      </c>
      <c r="C21" s="2" t="s">
        <v>327</v>
      </c>
    </row>
    <row r="22" spans="1:5" x14ac:dyDescent="0.55000000000000004">
      <c r="A22" t="s">
        <v>88</v>
      </c>
      <c r="B22" s="5">
        <v>5.7180000000000002E-2</v>
      </c>
      <c r="C22" s="4">
        <v>1.95</v>
      </c>
    </row>
    <row r="23" spans="1:5" x14ac:dyDescent="0.55000000000000004">
      <c r="A23" t="s">
        <v>111</v>
      </c>
      <c r="B23" s="5">
        <v>5.7180000000000002E-2</v>
      </c>
      <c r="C23" s="4">
        <v>1.95</v>
      </c>
    </row>
    <row r="24" spans="1:5" x14ac:dyDescent="0.55000000000000004">
      <c r="A24" t="s">
        <v>112</v>
      </c>
      <c r="B24" s="5">
        <v>5.7180000000000002E-2</v>
      </c>
      <c r="C24" s="4">
        <v>1.95</v>
      </c>
    </row>
    <row r="25" spans="1:5" x14ac:dyDescent="0.55000000000000004">
      <c r="A25" t="s">
        <v>115</v>
      </c>
      <c r="B25" s="5">
        <v>5.7180000000000002E-2</v>
      </c>
      <c r="C25" s="4">
        <v>1.95</v>
      </c>
    </row>
    <row r="26" spans="1:5" x14ac:dyDescent="0.55000000000000004">
      <c r="A26" t="s">
        <v>116</v>
      </c>
      <c r="B26" s="5">
        <v>5.7180000000000002E-2</v>
      </c>
      <c r="C26" s="4">
        <v>1.95</v>
      </c>
    </row>
    <row r="27" spans="1:5" x14ac:dyDescent="0.55000000000000004">
      <c r="A27" t="s">
        <v>328</v>
      </c>
      <c r="B27" s="5">
        <v>0.14330000000000001</v>
      </c>
      <c r="C27" s="4">
        <v>1.95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workbookViewId="0">
      <selection activeCell="D12" sqref="D12"/>
    </sheetView>
  </sheetViews>
  <sheetFormatPr defaultRowHeight="14.4" x14ac:dyDescent="0.55000000000000004"/>
  <cols>
    <col min="1" max="1" width="20.578125" customWidth="1"/>
    <col min="2" max="2" width="19.26171875" customWidth="1"/>
    <col min="3" max="3" width="19.1015625" customWidth="1"/>
    <col min="4" max="4" width="21.578125" customWidth="1"/>
    <col min="5" max="5" width="18" customWidth="1"/>
  </cols>
  <sheetData>
    <row r="1" spans="1:8" x14ac:dyDescent="0.55000000000000004">
      <c r="A1" s="1" t="s">
        <v>329</v>
      </c>
      <c r="B1" s="1" t="s">
        <v>217</v>
      </c>
      <c r="C1" s="1" t="s">
        <v>218</v>
      </c>
      <c r="D1" s="1" t="s">
        <v>219</v>
      </c>
      <c r="E1" s="1" t="s">
        <v>220</v>
      </c>
      <c r="G1" t="s">
        <v>330</v>
      </c>
    </row>
    <row r="2" spans="1:8" x14ac:dyDescent="0.55000000000000004">
      <c r="A2" t="s">
        <v>331</v>
      </c>
      <c r="B2">
        <f>COUNTA(Per_Agent_Tokens!$A:$A)-1-COUNTA($G$2:$G$9)</f>
        <v>30</v>
      </c>
      <c r="C2">
        <f>SUM(Per_Agent_Tokens!$C:$C)-(C3)</f>
        <v>114394</v>
      </c>
      <c r="D2">
        <f>SUM(Per_Agent_Tokens!$D:$D)-(D3)</f>
        <v>20175</v>
      </c>
      <c r="E2">
        <f>(C2)+(D2)</f>
        <v>134569</v>
      </c>
      <c r="G2" t="s">
        <v>236</v>
      </c>
    </row>
    <row r="3" spans="1:8" x14ac:dyDescent="0.55000000000000004">
      <c r="A3" t="s">
        <v>332</v>
      </c>
      <c r="B3">
        <f>COUNTA($G$2:$G$9)</f>
        <v>8</v>
      </c>
      <c r="C3">
        <f>SUM(SUMIF(Per_Agent_Tokens!$A:$A,$G$2:$G$9,Per_Agent_Tokens!$C:$C))</f>
        <v>2130</v>
      </c>
      <c r="D3">
        <f>SUM(SUMIF(Per_Agent_Tokens!$A:$A,$G$2:$G$9,Per_Agent_Tokens!$D:$D))</f>
        <v>450</v>
      </c>
      <c r="E3">
        <f>(C3)+(D3)</f>
        <v>2580</v>
      </c>
      <c r="G3" t="s">
        <v>248</v>
      </c>
    </row>
    <row r="4" spans="1:8" x14ac:dyDescent="0.55000000000000004">
      <c r="G4" t="s">
        <v>254</v>
      </c>
    </row>
    <row r="5" spans="1:8" x14ac:dyDescent="0.55000000000000004">
      <c r="G5" t="s">
        <v>255</v>
      </c>
    </row>
    <row r="6" spans="1:8" x14ac:dyDescent="0.55000000000000004">
      <c r="G6" t="s">
        <v>258</v>
      </c>
    </row>
    <row r="7" spans="1:8" x14ac:dyDescent="0.55000000000000004">
      <c r="G7" t="s">
        <v>259</v>
      </c>
    </row>
    <row r="8" spans="1:8" x14ac:dyDescent="0.55000000000000004">
      <c r="G8" t="s">
        <v>261</v>
      </c>
      <c r="H8" t="e">
        <f ca="1">Z_Core_vs_Rollup!B2XLOOKUP($B$2,'AWS LLM Pricing'!$B$2:$B$14,'AWS LLM Pricing'!$D$2:$D$14)</f>
        <v>#NAME?</v>
      </c>
    </row>
    <row r="9" spans="1:8" x14ac:dyDescent="0.55000000000000004">
      <c r="G9" t="s">
        <v>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selection activeCell="C3" sqref="C3"/>
    </sheetView>
  </sheetViews>
  <sheetFormatPr defaultRowHeight="14.4" x14ac:dyDescent="0.55000000000000004"/>
  <cols>
    <col min="1" max="1" width="21.734375" customWidth="1"/>
    <col min="2" max="2" width="37.734375" customWidth="1"/>
    <col min="3" max="3" width="31.734375" customWidth="1"/>
    <col min="4" max="4" width="27.578125" customWidth="1"/>
  </cols>
  <sheetData>
    <row r="1" spans="1:4" x14ac:dyDescent="0.55000000000000004">
      <c r="A1" s="1" t="s">
        <v>50</v>
      </c>
      <c r="B1" s="1" t="s">
        <v>333</v>
      </c>
      <c r="C1" s="1" t="s">
        <v>334</v>
      </c>
      <c r="D1" s="1" t="s">
        <v>335</v>
      </c>
    </row>
    <row r="2" spans="1:4" x14ac:dyDescent="0.55000000000000004">
      <c r="A2" t="s">
        <v>336</v>
      </c>
      <c r="B2" t="s">
        <v>337</v>
      </c>
      <c r="C2">
        <v>137149</v>
      </c>
      <c r="D2">
        <v>0</v>
      </c>
    </row>
    <row r="3" spans="1:4" x14ac:dyDescent="0.55000000000000004">
      <c r="A3" t="s">
        <v>338</v>
      </c>
      <c r="B3" t="s">
        <v>339</v>
      </c>
      <c r="C3">
        <v>112114</v>
      </c>
      <c r="D3">
        <v>18.3</v>
      </c>
    </row>
    <row r="4" spans="1:4" x14ac:dyDescent="0.55000000000000004">
      <c r="A4" t="s">
        <v>340</v>
      </c>
      <c r="B4" t="s">
        <v>341</v>
      </c>
      <c r="C4">
        <v>95000</v>
      </c>
      <c r="D4">
        <v>30.7</v>
      </c>
    </row>
    <row r="5" spans="1:4" x14ac:dyDescent="0.55000000000000004">
      <c r="A5" t="s">
        <v>342</v>
      </c>
      <c r="B5" t="s">
        <v>343</v>
      </c>
      <c r="C5">
        <v>85000</v>
      </c>
      <c r="D5">
        <v>38</v>
      </c>
    </row>
    <row r="6" spans="1:4" x14ac:dyDescent="0.55000000000000004">
      <c r="A6" t="s">
        <v>344</v>
      </c>
      <c r="B6" t="s">
        <v>345</v>
      </c>
      <c r="C6">
        <v>65000</v>
      </c>
      <c r="D6">
        <v>52.6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HeadingPairs>
  <TitlesOfParts>
    <vt:vector size="25" baseType="lpstr">
      <vt:lpstr>Pricing_Calculator</vt:lpstr>
      <vt:lpstr>Hosted vs On Demand</vt:lpstr>
      <vt:lpstr>Pricing_Calculator (2)</vt:lpstr>
      <vt:lpstr>Category_Breakdown</vt:lpstr>
      <vt:lpstr>Per_Agent_Tokens</vt:lpstr>
      <vt:lpstr>AWS LLM Pricing</vt:lpstr>
      <vt:lpstr>Z_Core_vs_Rollup</vt:lpstr>
      <vt:lpstr>Z_Optimization_Scenarios</vt:lpstr>
      <vt:lpstr>'Pricing_Calculator (2)'!InfrastructurePct</vt:lpstr>
      <vt:lpstr>InfrastructurePct</vt:lpstr>
      <vt:lpstr>'Pricing_Calculator (2)'!InputPrice</vt:lpstr>
      <vt:lpstr>InputPrice</vt:lpstr>
      <vt:lpstr>ModelList</vt:lpstr>
      <vt:lpstr>'Pricing_Calculator (2)'!MonthlyCaseVolume</vt:lpstr>
      <vt:lpstr>MonthlyCaseVolume</vt:lpstr>
      <vt:lpstr>'Pricing_Calculator (2)'!NumAgents</vt:lpstr>
      <vt:lpstr>NumAgents</vt:lpstr>
      <vt:lpstr>'Pricing_Calculator (2)'!OutputPrice</vt:lpstr>
      <vt:lpstr>OutputPrice</vt:lpstr>
      <vt:lpstr>'Pricing_Calculator (2)'!SelectedModel</vt:lpstr>
      <vt:lpstr>SelectedModel</vt:lpstr>
      <vt:lpstr>'Pricing_Calculator (2)'!SynthInputTokens</vt:lpstr>
      <vt:lpstr>SynthInputTokens</vt:lpstr>
      <vt:lpstr>'Pricing_Calculator (2)'!SynthOutputTokens</vt:lpstr>
      <vt:lpstr>SynthOutputTokens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Luu, Anthony</cp:lastModifiedBy>
  <cp:revision/>
  <dcterms:created xsi:type="dcterms:W3CDTF">2026-05-20T13:03:21Z</dcterms:created>
  <dcterms:modified xsi:type="dcterms:W3CDTF">2026-05-22T15:05:07Z</dcterms:modified>
  <cp:category/>
  <cp:contentStatus/>
</cp:coreProperties>
</file>